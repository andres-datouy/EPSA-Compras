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sacomuy-my.sharepoint.com/personal/rmunoz_epsa_com_uy/Documents/Attachments/"/>
    </mc:Choice>
  </mc:AlternateContent>
  <xr:revisionPtr revIDLastSave="8" documentId="8_{B9F42F8E-2D12-4D7C-9EF2-91C67BBD8C3D}" xr6:coauthVersionLast="47" xr6:coauthVersionMax="47" xr10:uidLastSave="{A24C5345-1059-4716-80A9-2F174DB10867}"/>
  <bookViews>
    <workbookView xWindow="377" yWindow="377" windowWidth="14049" windowHeight="7054" xr2:uid="{C2C9ACAB-7D53-4DB8-A563-000328FEFA8E}"/>
  </bookViews>
  <sheets>
    <sheet name="19 06 2026" sheetId="1" r:id="rId1"/>
    <sheet name="Resum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Facundo Llamedo</author>
    <author>Roberta</author>
  </authors>
  <commentList>
    <comment ref="O1" authorId="0" shapeId="0" xr:uid="{0D8078F6-41E7-41DB-AC1F-50DE0969050A}">
      <text>
        <r>
          <rPr>
            <sz val="9"/>
            <color indexed="81"/>
            <rFont val="Tahoma"/>
            <family val="2"/>
          </rPr>
          <t xml:space="preserve">
FECHA DE SALIDA DE ORIGEN DEL MEDIO DE TRANSPORTE
</t>
        </r>
      </text>
    </comment>
    <comment ref="P1" authorId="0" shapeId="0" xr:uid="{D012BD8A-3F5B-4F91-A2D9-D3AAA323DA41}">
      <text>
        <r>
          <rPr>
            <sz val="9"/>
            <color indexed="81"/>
            <rFont val="Tahoma"/>
            <family val="2"/>
          </rPr>
          <t xml:space="preserve">
FECHA DE ARRIBO DEL MEDIO DE TRANSPORTE AL PAIS DE DESTINO</t>
        </r>
      </text>
    </comment>
    <comment ref="W1" authorId="0" shapeId="0" xr:uid="{830D811D-9A97-4484-A4D5-457D9732664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ESTADOS:
-</t>
        </r>
        <r>
          <rPr>
            <b/>
            <sz val="9"/>
            <color indexed="81"/>
            <rFont val="Tahoma"/>
            <family val="2"/>
          </rPr>
          <t>COORDINAR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-PROGRAMADO
-TRANSITO
-ARRIBADO
-INGRESO
-CANCELADO</t>
        </r>
      </text>
    </comment>
    <comment ref="E11" authorId="1" shapeId="0" xr:uid="{E5BE5DC6-37D3-457C-BE8D-EC60B859C9D8}">
      <text>
        <r>
          <rPr>
            <b/>
            <sz val="9"/>
            <color indexed="81"/>
            <rFont val="Tahoma"/>
            <family val="2"/>
          </rPr>
          <t>Roberta:</t>
        </r>
        <r>
          <rPr>
            <sz val="9"/>
            <color indexed="81"/>
            <rFont val="Tahoma"/>
            <family val="2"/>
          </rPr>
          <t xml:space="preserve">
actualizar precio en 
po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Facundo Llamedo</author>
  </authors>
  <commentList>
    <comment ref="D1" authorId="0" shapeId="0" xr:uid="{9957BD77-F25C-42B7-AA1E-01853F364E95}">
      <text>
        <r>
          <rPr>
            <sz val="9"/>
            <color indexed="81"/>
            <rFont val="Tahoma"/>
            <family val="2"/>
          </rPr>
          <t xml:space="preserve">
FECHA DE ARRIBO DEL MEDIO DE TRANSPORTE AL PAIS DE DESTINO</t>
        </r>
      </text>
    </comment>
    <comment ref="E1" authorId="0" shapeId="0" xr:uid="{36BACA14-9012-474D-9491-99915E60D63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ESTADOS:
-</t>
        </r>
        <r>
          <rPr>
            <b/>
            <sz val="9"/>
            <color indexed="81"/>
            <rFont val="Tahoma"/>
            <family val="2"/>
          </rPr>
          <t>COORDINAR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-PROGRAMADO
-TRANSITO
-ARRIBADO
-INGRESO
-CANCELADO</t>
        </r>
      </text>
    </comment>
  </commentList>
</comments>
</file>

<file path=xl/sharedStrings.xml><?xml version="1.0" encoding="utf-8"?>
<sst xmlns="http://schemas.openxmlformats.org/spreadsheetml/2006/main" count="964" uniqueCount="297">
  <si>
    <t>EMPRESA</t>
  </si>
  <si>
    <t>PROVEEDOR</t>
  </si>
  <si>
    <t>ORIGEN</t>
  </si>
  <si>
    <t>FECHA DE PO</t>
  </si>
  <si>
    <t>PO</t>
  </si>
  <si>
    <t>INCOTERM</t>
  </si>
  <si>
    <t>FACTURA</t>
  </si>
  <si>
    <t>FECHA FACTURA</t>
  </si>
  <si>
    <t>MONEDA</t>
  </si>
  <si>
    <t>VALOR FACTURA</t>
  </si>
  <si>
    <t>PLAZO DE PAGO</t>
  </si>
  <si>
    <t>VTO (FECHA)</t>
  </si>
  <si>
    <t>CARPETA</t>
  </si>
  <si>
    <t>PREVISION EMBARQUE</t>
  </si>
  <si>
    <t>ETD</t>
  </si>
  <si>
    <t>ETA</t>
  </si>
  <si>
    <t>FECHA NECESIDAD</t>
  </si>
  <si>
    <t xml:space="preserve">INGRESO A STOCK </t>
  </si>
  <si>
    <t>OBSERVACIONES</t>
  </si>
  <si>
    <t>%</t>
  </si>
  <si>
    <t>FLETE</t>
  </si>
  <si>
    <t>GSTOS</t>
  </si>
  <si>
    <t>ESTADO</t>
  </si>
  <si>
    <t>BL/AWB</t>
  </si>
  <si>
    <t>MODAL</t>
  </si>
  <si>
    <t>FORWARDER</t>
  </si>
  <si>
    <t>DUA</t>
  </si>
  <si>
    <t>BULTOS</t>
  </si>
  <si>
    <t>TIPO</t>
  </si>
  <si>
    <t>PESO</t>
  </si>
  <si>
    <t>CIERRE (FECHA)</t>
  </si>
  <si>
    <t>Equivalente en USD</t>
  </si>
  <si>
    <t>prevision de USD para despacho</t>
  </si>
  <si>
    <t>semana del año</t>
  </si>
  <si>
    <t>GSSA</t>
  </si>
  <si>
    <t>IHT</t>
  </si>
  <si>
    <t>España</t>
  </si>
  <si>
    <t>FCA</t>
  </si>
  <si>
    <t>26010004</t>
  </si>
  <si>
    <t>EUR</t>
  </si>
  <si>
    <t>PF</t>
  </si>
  <si>
    <t xml:space="preserve">BL: ME26000114/1 - WELU5386606 - </t>
  </si>
  <si>
    <t>ARRIBADA</t>
  </si>
  <si>
    <t xml:space="preserve"> ME26000114/1 </t>
  </si>
  <si>
    <t>MARITIMO</t>
  </si>
  <si>
    <t>Base cargo</t>
  </si>
  <si>
    <t>pallet</t>
  </si>
  <si>
    <t>26010003</t>
  </si>
  <si>
    <t>26010002</t>
  </si>
  <si>
    <t>BRAUN cardio</t>
  </si>
  <si>
    <t>ALEMANIA</t>
  </si>
  <si>
    <t>CIP</t>
  </si>
  <si>
    <t>HAWB No: KA80000553</t>
  </si>
  <si>
    <t>aereo</t>
  </si>
  <si>
    <t>DSV</t>
  </si>
  <si>
    <t>EPSA</t>
  </si>
  <si>
    <t>Day engineering</t>
  </si>
  <si>
    <t>INDIA</t>
  </si>
  <si>
    <t>EXW</t>
  </si>
  <si>
    <t>D/EX-008/26-27</t>
  </si>
  <si>
    <t>USD</t>
  </si>
  <si>
    <t>ANTICIADO 100 %</t>
  </si>
  <si>
    <t>8/5/2026 pagado</t>
  </si>
  <si>
    <t>Urgente</t>
  </si>
  <si>
    <t>. O-AI-00011161</t>
  </si>
  <si>
    <t>TRANSITO</t>
  </si>
  <si>
    <t>FEDEX</t>
  </si>
  <si>
    <t>cajas</t>
  </si>
  <si>
    <t>INT AIR</t>
  </si>
  <si>
    <t>FRANCIA</t>
  </si>
  <si>
    <t>17/4/2026- pagado</t>
  </si>
  <si>
    <t>YA SE HIZO PICK UP</t>
  </si>
  <si>
    <t>300660/2026FI</t>
  </si>
  <si>
    <t>EXW-AT</t>
  </si>
  <si>
    <t>ANTICIADO 100 %- en AT</t>
  </si>
  <si>
    <t>belmark</t>
  </si>
  <si>
    <t>PREPAGO</t>
  </si>
  <si>
    <t>COTIZANDO</t>
  </si>
  <si>
    <t>COORDINAR</t>
  </si>
  <si>
    <t>PAHSCO</t>
  </si>
  <si>
    <t>TAIWAN</t>
  </si>
  <si>
    <t>FOB</t>
  </si>
  <si>
    <t>198480/ PJJ</t>
  </si>
  <si>
    <t>pagado 23 03</t>
  </si>
  <si>
    <t>LHKKEE 26043330 MTV</t>
  </si>
  <si>
    <t>BASE CARGO</t>
  </si>
  <si>
    <t>EPSA- supramar</t>
  </si>
  <si>
    <t>WIPAK</t>
  </si>
  <si>
    <t>FINLANDIA</t>
  </si>
  <si>
    <t>25674/37112</t>
  </si>
  <si>
    <t>2190183753</t>
  </si>
  <si>
    <t>10 dias 3%/ 90 net</t>
  </si>
  <si>
    <t>se reprograma pago 9/01 y 06/02/2026</t>
  </si>
  <si>
    <t>TALLY 97647 MRSU751379-1</t>
  </si>
  <si>
    <t>BK 21349- BUQUE: MAERSK LANCO 535S MOV:97647</t>
  </si>
  <si>
    <t>supramar</t>
  </si>
  <si>
    <t>DEHA25213491</t>
  </si>
  <si>
    <t>MARITIMO 1x40</t>
  </si>
  <si>
    <t>Schryver</t>
  </si>
  <si>
    <t>Plasticos Durex-Aspirator</t>
  </si>
  <si>
    <t>ESPAÑA</t>
  </si>
  <si>
    <t>90026684</t>
  </si>
  <si>
    <t>prepago</t>
  </si>
  <si>
    <t>20/08 pagado</t>
  </si>
  <si>
    <t>1x40 TALLY 97725 MRSU730008-0</t>
  </si>
  <si>
    <t>RBOL  Ref. O-MI-00005807</t>
  </si>
  <si>
    <t>buque: CHENNAI EXPRESS- mov 97724</t>
  </si>
  <si>
    <t>ME25000232/1</t>
  </si>
  <si>
    <t>MARITIMO 1x20+1x40</t>
  </si>
  <si>
    <t>6 de 11</t>
  </si>
  <si>
    <t>90026681</t>
  </si>
  <si>
    <t xml:space="preserve">va a supramar </t>
  </si>
  <si>
    <t>buque: CHENNAI EXPRESS- MOV:97725</t>
  </si>
  <si>
    <t>KDL</t>
  </si>
  <si>
    <t>CHINA</t>
  </si>
  <si>
    <t>PI</t>
  </si>
  <si>
    <t>anticipado</t>
  </si>
  <si>
    <t>9/5/2026 pagado</t>
  </si>
  <si>
    <t>all</t>
  </si>
  <si>
    <t>PROGRAMADA</t>
  </si>
  <si>
    <t>LHKZHH-26053319MTV</t>
  </si>
  <si>
    <t>20 cajas</t>
  </si>
  <si>
    <t>1 pallet</t>
  </si>
  <si>
    <t>GUANGZHOU</t>
  </si>
  <si>
    <t>27130- 38646</t>
  </si>
  <si>
    <t>KR20260310 ESA</t>
  </si>
  <si>
    <t>LLLMTV26528725MTV</t>
  </si>
  <si>
    <t>SHANGHAI HEALTH M</t>
  </si>
  <si>
    <t>26551/ 38148</t>
  </si>
  <si>
    <t>PI SHHM-2025121</t>
  </si>
  <si>
    <t>ANTICIPADO</t>
  </si>
  <si>
    <t>13/2/2025- pagado</t>
  </si>
  <si>
    <t>3069/25</t>
  </si>
  <si>
    <t>SHSHMVD26050407</t>
  </si>
  <si>
    <t>72 CAJAS</t>
  </si>
  <si>
    <t>TELEFLEX USA</t>
  </si>
  <si>
    <t>USA</t>
  </si>
  <si>
    <t>aguradar BL</t>
  </si>
  <si>
    <t>PALLET</t>
  </si>
  <si>
    <t>9511477824</t>
  </si>
  <si>
    <t>9511477825</t>
  </si>
  <si>
    <t>LUPA</t>
  </si>
  <si>
    <t>26839/38257</t>
  </si>
  <si>
    <t xml:space="preserve">The 0,40 mm coils could be send in week 25 and the 0,30 mm coils in week 30. </t>
  </si>
  <si>
    <t>HM EXTRUSION</t>
  </si>
  <si>
    <t>AT</t>
  </si>
  <si>
    <t xml:space="preserve"> AT- O-MI-00010778</t>
  </si>
  <si>
    <t>300662/2026/FI</t>
  </si>
  <si>
    <t>BULTO</t>
  </si>
  <si>
    <t xml:space="preserve"> O-MI-00010778</t>
  </si>
  <si>
    <t>BRAUN MEDICAL</t>
  </si>
  <si>
    <t>MAEU 270970965</t>
  </si>
  <si>
    <t>SCHRYVER</t>
  </si>
  <si>
    <t>WEIGAO</t>
  </si>
  <si>
    <t xml:space="preserve">ant 30% - restante con </t>
  </si>
  <si>
    <t>30% 04/02-pagado-15 de mayo completar</t>
  </si>
  <si>
    <t>O-MI-00010389</t>
  </si>
  <si>
    <t>QDWJ260509027</t>
  </si>
  <si>
    <t>maritimo</t>
  </si>
  <si>
    <t>Base Cargo</t>
  </si>
  <si>
    <t>MAGMA</t>
  </si>
  <si>
    <t>BRASIL</t>
  </si>
  <si>
    <t>20 ant 80% con bL</t>
  </si>
  <si>
    <t>AGENDA DE PAGOS</t>
  </si>
  <si>
    <t>Terrestre</t>
  </si>
  <si>
    <t xml:space="preserve">TELIC </t>
  </si>
  <si>
    <t>0700003904</t>
  </si>
  <si>
    <t>O-MI-00010670</t>
  </si>
  <si>
    <t>ME26000161/1</t>
  </si>
  <si>
    <t>mayo</t>
  </si>
  <si>
    <t xml:space="preserve">O-MI-00010976 en WH </t>
  </si>
  <si>
    <t>26986/38535</t>
  </si>
  <si>
    <t>AGUARADAR SHIPDATE</t>
  </si>
  <si>
    <t>AMACO</t>
  </si>
  <si>
    <t>AUSTRIA</t>
  </si>
  <si>
    <t>22088-39106</t>
  </si>
  <si>
    <t>10 day net</t>
  </si>
  <si>
    <t>Plasticos Soriano- aspirator</t>
  </si>
  <si>
    <t>20/2/2026 pagado</t>
  </si>
  <si>
    <t xml:space="preserve">  RE PROGRAMA- AGUARDAR BL</t>
  </si>
  <si>
    <t>ME26000197/1</t>
  </si>
  <si>
    <t>POLYMED</t>
  </si>
  <si>
    <t>100% anticipado</t>
  </si>
  <si>
    <t xml:space="preserve"> O-MI-00009807 </t>
  </si>
  <si>
    <t>FCLDEL26270215</t>
  </si>
  <si>
    <t>CAJAS</t>
  </si>
  <si>
    <t>usd</t>
  </si>
  <si>
    <t>496.8</t>
  </si>
  <si>
    <t>gssa</t>
  </si>
  <si>
    <t>junio</t>
  </si>
  <si>
    <t>O-MI-00011200</t>
  </si>
  <si>
    <t>ME26000200/1</t>
  </si>
  <si>
    <t>DAILYMAG</t>
  </si>
  <si>
    <t>CHINA- NINGBO</t>
  </si>
  <si>
    <t>27132/2026- 38643</t>
  </si>
  <si>
    <t>PI DMG-P025-034</t>
  </si>
  <si>
    <t>30 % ANT 70% CON bl</t>
  </si>
  <si>
    <t>IM-062026-00010774</t>
  </si>
  <si>
    <t>GZ26050336</t>
  </si>
  <si>
    <t>inel</t>
  </si>
  <si>
    <t>AD-MERCURIUS CTCATE</t>
  </si>
  <si>
    <t>se reclama cotizacion</t>
  </si>
  <si>
    <t>Vogelsang</t>
  </si>
  <si>
    <t>keller</t>
  </si>
  <si>
    <t>falta descripcion en ingles</t>
  </si>
  <si>
    <t>Inhe Tesch</t>
  </si>
  <si>
    <t>MERCURIUS</t>
  </si>
  <si>
    <t>38473</t>
  </si>
  <si>
    <t>GEMYBAU</t>
  </si>
  <si>
    <t>actualizar estado</t>
  </si>
  <si>
    <t>90027520</t>
  </si>
  <si>
    <t>5/12/2025. reprogramar 27/02/2026</t>
  </si>
  <si>
    <t>ENVIAR A SUPRAMAR- IM-042026-00009692</t>
  </si>
  <si>
    <t>ME26000067/1</t>
  </si>
  <si>
    <t>1x40</t>
  </si>
  <si>
    <t>restan 5 de 11</t>
  </si>
  <si>
    <t>PROMEPLA</t>
  </si>
  <si>
    <t>MONACO</t>
  </si>
  <si>
    <t>26888-39107</t>
  </si>
  <si>
    <t>pi</t>
  </si>
  <si>
    <t>cotizando</t>
  </si>
  <si>
    <t>SERIGOFER</t>
  </si>
  <si>
    <t>anticipo 50%</t>
  </si>
  <si>
    <t>19/6/2026 anticipo -pagado-50% (731,56EUR)</t>
  </si>
  <si>
    <t>canister para imprimir disponibles en julio</t>
  </si>
  <si>
    <r>
      <t xml:space="preserve">Cotizando-Referencia de Recogida </t>
    </r>
    <r>
      <rPr>
        <sz val="8"/>
        <rFont val="Calibri"/>
        <family val="2"/>
      </rPr>
      <t xml:space="preserve">= </t>
    </r>
    <r>
      <rPr>
        <b/>
        <sz val="8"/>
        <rFont val="Calibri"/>
        <family val="2"/>
      </rPr>
      <t xml:space="preserve">07/4909  ELECTROPLAST O-MI-00011290 </t>
    </r>
  </si>
  <si>
    <t>ME26000206/1</t>
  </si>
  <si>
    <t>ZINsstag</t>
  </si>
  <si>
    <t>Alemania</t>
  </si>
  <si>
    <t>EUr</t>
  </si>
  <si>
    <t>confirmo entrega para W30</t>
  </si>
  <si>
    <t>KLS MARTIN</t>
  </si>
  <si>
    <t>O-MI-00011197</t>
  </si>
  <si>
    <t>Plasticos Madrona</t>
  </si>
  <si>
    <t>anticipado- pagado</t>
  </si>
  <si>
    <t>consolidar con tapas azules de MOTECSA</t>
  </si>
  <si>
    <t>AEGIS</t>
  </si>
  <si>
    <t>ALPLEXPPI26270004 01-</t>
  </si>
  <si>
    <t xml:space="preserve">O-MI-00010436 </t>
  </si>
  <si>
    <t>AGENDA DE PAGO</t>
  </si>
  <si>
    <t>MU26S0008994</t>
  </si>
  <si>
    <t>Maritimo</t>
  </si>
  <si>
    <t>bultos</t>
  </si>
  <si>
    <t>Baexmo</t>
  </si>
  <si>
    <t>26251/38361</t>
  </si>
  <si>
    <t>aguardar PI</t>
  </si>
  <si>
    <t>15/05/2026-pagado</t>
  </si>
  <si>
    <t>actualizar fecha de entrega y pago</t>
  </si>
  <si>
    <t>BQ MEDICAL</t>
  </si>
  <si>
    <t>BQ20260926-F</t>
  </si>
  <si>
    <t>7/5/2026-pagadp</t>
  </si>
  <si>
    <t>TIP CORP</t>
  </si>
  <si>
    <t>Malasia</t>
  </si>
  <si>
    <t>TPL35194-35195</t>
  </si>
  <si>
    <t>01PKG0642205</t>
  </si>
  <si>
    <t>CHANGZHOU LOGYING</t>
  </si>
  <si>
    <t>china</t>
  </si>
  <si>
    <t>FOb</t>
  </si>
  <si>
    <t xml:space="preserve">PI CZPI20260415-1R1 </t>
  </si>
  <si>
    <t xml:space="preserve">USD </t>
  </si>
  <si>
    <t>22/5/2026-pagado</t>
  </si>
  <si>
    <t>ENVIAR A HUGO CUANDO CONFRIME BL</t>
  </si>
  <si>
    <t>no incluye salida</t>
  </si>
  <si>
    <t>CONSULTAR SI HAY AT</t>
  </si>
  <si>
    <t>maritimo 1x40</t>
  </si>
  <si>
    <t>50 pallet</t>
  </si>
  <si>
    <t>Talleres Menard</t>
  </si>
  <si>
    <t>aguardando swift</t>
  </si>
  <si>
    <t>MOTECSA-ASPIRATOR</t>
  </si>
  <si>
    <t>julio</t>
  </si>
  <si>
    <t>Hangzhou cobetter- Aspirator</t>
  </si>
  <si>
    <t>22/5/2026- pagado</t>
  </si>
  <si>
    <t>pagado- 20 05</t>
  </si>
  <si>
    <t>SIGMA-ALDRICH</t>
  </si>
  <si>
    <t>plastics 85</t>
  </si>
  <si>
    <t>29/5/2026-pagado</t>
  </si>
  <si>
    <t>lupa</t>
  </si>
  <si>
    <t>EPFLEX</t>
  </si>
  <si>
    <t>27183/ 38034</t>
  </si>
  <si>
    <t>contado</t>
  </si>
  <si>
    <t>Tamponcolor</t>
  </si>
  <si>
    <t>papel</t>
  </si>
  <si>
    <t>D/EX-013/26-27</t>
  </si>
  <si>
    <t>O-MI-00011126</t>
  </si>
  <si>
    <t>THT BIOSCIENCE</t>
  </si>
  <si>
    <t>francia</t>
  </si>
  <si>
    <t>Ref. : 27395/2026</t>
  </si>
  <si>
    <t>12/6/2026 pagado</t>
  </si>
  <si>
    <t>TELEFLEX-RHENUS</t>
  </si>
  <si>
    <t>MEDLINE</t>
  </si>
  <si>
    <t>PANAMA</t>
  </si>
  <si>
    <t>ALPINGOMA</t>
  </si>
  <si>
    <t>ITALIA</t>
  </si>
  <si>
    <t>ANT</t>
  </si>
  <si>
    <t>We have already received advance payment of USD 4174,17.</t>
  </si>
  <si>
    <t>JUNIO/JULIO</t>
  </si>
  <si>
    <t>8615,5 19/06 anti-pagadoc usd 34462,5 29 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</si>
</sst>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dd/mm/yyyy;@"/>
    <numFmt numFmtId="165" formatCode="dd/mm/yy;@"/>
    <numFmt numFmtId="166" formatCode="_-[$USD]\ * #,##0.00_-;\-[$USD]\ * #,##0.00_-;_-[$USD]\ * &quot;-&quot;??_-;_-@_-"/>
    <numFmt numFmtId="167" formatCode="dd\-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color rgb="FFC0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3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14" fontId="10" fillId="2" borderId="4" xfId="0" applyNumberFormat="1" applyFont="1" applyFill="1" applyBorder="1" applyAlignment="1">
      <alignment horizontal="center" vertical="center" wrapText="1"/>
    </xf>
    <xf numFmtId="44" fontId="10" fillId="2" borderId="4" xfId="0" applyNumberFormat="1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14" fontId="10" fillId="2" borderId="5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0" fontId="10" fillId="3" borderId="6" xfId="1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" fontId="10" fillId="3" borderId="6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65" fontId="10" fillId="3" borderId="4" xfId="0" applyNumberFormat="1" applyFont="1" applyFill="1" applyBorder="1" applyAlignment="1">
      <alignment horizontal="center" vertical="center" wrapText="1"/>
    </xf>
    <xf numFmtId="166" fontId="10" fillId="4" borderId="9" xfId="0" applyNumberFormat="1" applyFont="1" applyFill="1" applyBorder="1" applyAlignment="1">
      <alignment horizontal="center" vertical="center" wrapText="1"/>
    </xf>
    <xf numFmtId="166" fontId="10" fillId="4" borderId="10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14" fontId="6" fillId="5" borderId="6" xfId="0" applyNumberFormat="1" applyFont="1" applyFill="1" applyBorder="1" applyAlignment="1">
      <alignment horizontal="center" vertical="center"/>
    </xf>
    <xf numFmtId="44" fontId="6" fillId="5" borderId="6" xfId="0" applyNumberFormat="1" applyFont="1" applyFill="1" applyBorder="1" applyAlignment="1">
      <alignment vertical="center"/>
    </xf>
    <xf numFmtId="14" fontId="6" fillId="0" borderId="6" xfId="0" applyNumberFormat="1" applyFont="1" applyBorder="1" applyAlignment="1">
      <alignment horizontal="center" vertical="center"/>
    </xf>
    <xf numFmtId="166" fontId="6" fillId="4" borderId="8" xfId="0" applyNumberFormat="1" applyFont="1" applyFill="1" applyBorder="1" applyAlignment="1">
      <alignment horizontal="center" vertical="center"/>
    </xf>
    <xf numFmtId="166" fontId="6" fillId="4" borderId="6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1" applyNumberFormat="1" applyFont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44" fontId="10" fillId="5" borderId="6" xfId="0" applyNumberFormat="1" applyFont="1" applyFill="1" applyBorder="1" applyAlignment="1">
      <alignment vertical="center"/>
    </xf>
    <xf numFmtId="0" fontId="11" fillId="5" borderId="6" xfId="2" applyFont="1" applyFill="1" applyBorder="1" applyAlignment="1">
      <alignment horizontal="center" vertical="center"/>
    </xf>
    <xf numFmtId="164" fontId="10" fillId="5" borderId="6" xfId="0" applyNumberFormat="1" applyFont="1" applyFill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14" fontId="10" fillId="5" borderId="6" xfId="0" applyNumberFormat="1" applyFont="1" applyFill="1" applyBorder="1" applyAlignment="1">
      <alignment horizontal="center" vertical="center"/>
    </xf>
    <xf numFmtId="167" fontId="10" fillId="5" borderId="6" xfId="0" applyNumberFormat="1" applyFont="1" applyFill="1" applyBorder="1" applyAlignment="1">
      <alignment horizontal="center" vertical="center"/>
    </xf>
    <xf numFmtId="44" fontId="6" fillId="0" borderId="6" xfId="0" applyNumberFormat="1" applyFont="1" applyBorder="1" applyAlignment="1">
      <alignment vertical="center" wrapText="1"/>
    </xf>
    <xf numFmtId="0" fontId="12" fillId="5" borderId="6" xfId="2" applyFont="1" applyFill="1" applyBorder="1" applyAlignment="1">
      <alignment horizontal="center" vertical="center"/>
    </xf>
    <xf numFmtId="167" fontId="6" fillId="5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44" fontId="10" fillId="0" borderId="6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166" fontId="10" fillId="4" borderId="8" xfId="0" applyNumberFormat="1" applyFont="1" applyFill="1" applyBorder="1" applyAlignment="1">
      <alignment horizontal="center" vertical="center"/>
    </xf>
    <xf numFmtId="166" fontId="10" fillId="4" borderId="6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6" fillId="5" borderId="4" xfId="0" applyNumberFormat="1" applyFont="1" applyFill="1" applyBorder="1" applyAlignment="1">
      <alignment horizontal="center" vertical="center"/>
    </xf>
    <xf numFmtId="44" fontId="6" fillId="0" borderId="4" xfId="0" applyNumberFormat="1" applyFont="1" applyBorder="1" applyAlignment="1">
      <alignment vertical="center" wrapText="1"/>
    </xf>
    <xf numFmtId="1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6" fontId="6" fillId="4" borderId="12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</cellXfs>
  <cellStyles count="3">
    <cellStyle name="Normal" xfId="0" builtinId="0"/>
    <cellStyle name="Normal 3" xfId="2" xr:uid="{6F482315-8C5E-482F-9803-0D74A138BD72}"/>
    <cellStyle name="Porcentaje" xfId="1" builtinId="5"/>
  </cellStyles>
  <dxfs count="238"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ont>
        <b/>
        <i val="0"/>
        <strike val="0"/>
        <u val="none"/>
        <color rgb="FFC00000"/>
      </font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F6E7E6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ont>
        <b/>
        <i val="0"/>
        <strike val="0"/>
        <u val="none"/>
        <color rgb="FFC00000"/>
      </font>
    </dxf>
    <dxf>
      <font>
        <b/>
        <i val="0"/>
        <strike val="0"/>
        <u val="none"/>
        <color rgb="FFC00000"/>
      </font>
    </dxf>
    <dxf>
      <fill>
        <patternFill>
          <bgColor rgb="FFF6E7E6"/>
        </patternFill>
      </fill>
    </dxf>
    <dxf>
      <font>
        <b/>
        <i val="0"/>
        <strike val="0"/>
        <u val="none"/>
        <color rgb="FFC00000"/>
      </font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ont>
        <b/>
        <i val="0"/>
        <strike val="0"/>
        <u val="none"/>
        <color rgb="FFC00000"/>
      </font>
    </dxf>
    <dxf>
      <font>
        <b/>
        <i val="0"/>
        <strike val="0"/>
        <u val="none"/>
        <color rgb="FFC00000"/>
      </font>
    </dxf>
    <dxf>
      <fill>
        <patternFill>
          <bgColor rgb="FFFEF2E8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B3FFD5"/>
        </patternFill>
      </fill>
    </dxf>
    <dxf>
      <fill>
        <patternFill>
          <bgColor rgb="FFCCCCFF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B3FFD5"/>
        </patternFill>
      </fill>
    </dxf>
    <dxf>
      <fill>
        <patternFill>
          <bgColor rgb="FFCCCCFF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B3FFD5"/>
        </patternFill>
      </fill>
    </dxf>
    <dxf>
      <fill>
        <patternFill>
          <bgColor rgb="FFB3FFD5"/>
        </patternFill>
      </fill>
    </dxf>
    <dxf>
      <fill>
        <patternFill>
          <bgColor rgb="FFB3FFD5"/>
        </patternFill>
      </fill>
    </dxf>
    <dxf>
      <fill>
        <patternFill>
          <bgColor rgb="FFB3FFD5"/>
        </patternFill>
      </fill>
    </dxf>
    <dxf>
      <fill>
        <patternFill>
          <bgColor rgb="FFB3FFD5"/>
        </patternFill>
      </fill>
    </dxf>
    <dxf>
      <fill>
        <patternFill>
          <bgColor rgb="FFCCCCFF"/>
        </patternFill>
      </fill>
    </dxf>
    <dxf>
      <fill>
        <patternFill>
          <bgColor rgb="FFF6E7E6"/>
        </patternFill>
      </fill>
    </dxf>
    <dxf>
      <fill>
        <patternFill>
          <bgColor rgb="FFCCCCFF"/>
        </patternFill>
      </fill>
    </dxf>
    <dxf>
      <fill>
        <patternFill>
          <bgColor rgb="FFB3FFD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F6E7E6"/>
        </patternFill>
      </fill>
    </dxf>
    <dxf>
      <fill>
        <patternFill>
          <bgColor rgb="FFB3FFD5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FEF2E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F6E7E6"/>
        </patternFill>
      </fill>
    </dxf>
    <dxf>
      <fill>
        <patternFill>
          <bgColor rgb="FFFEF2E8"/>
        </patternFill>
      </fill>
    </dxf>
    <dxf>
      <fill>
        <patternFill>
          <bgColor rgb="FFB3FFD5"/>
        </patternFill>
      </fill>
    </dxf>
    <dxf>
      <fill>
        <patternFill>
          <bgColor rgb="FFCCCCFF"/>
        </patternFill>
      </fill>
    </dxf>
    <dxf>
      <font>
        <b/>
        <i val="0"/>
        <strike val="0"/>
        <u val="none"/>
        <color rgb="FFC00000"/>
      </font>
    </dxf>
    <dxf>
      <font>
        <b/>
        <i val="0"/>
        <strike val="0"/>
        <u val="none"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_-[$USD]\ * #,##0.00_-;\-[$USD]\ * #,##0.00_-;_-[$USD]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_-[$USD]\ * #,##0.00_-;\-[$USD]\ * #,##0.00_-;_-[$USD]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BD094-4EC2-4D43-9A9A-DE268EF7C895}" name="Tabla1" displayName="Tabla1" ref="A1:AH86" totalsRowShown="0" tableBorderDxfId="237">
  <autoFilter ref="A1:AH86" xr:uid="{BD4BD094-4EC2-4D43-9A9A-DE268EF7C895}"/>
  <tableColumns count="34">
    <tableColumn id="1" xr3:uid="{5CAD8EF5-BBBA-4F0B-934A-0569766D89BC}" name="EMPRESA" dataDxfId="236"/>
    <tableColumn id="2" xr3:uid="{2889DFF8-F243-4855-A754-3F990814AB00}" name="PROVEEDOR" dataDxfId="235"/>
    <tableColumn id="3" xr3:uid="{7E34CD22-912F-4900-A986-37392252BDD1}" name="ORIGEN" dataDxfId="234" dataCellStyle="Normal 3"/>
    <tableColumn id="4" xr3:uid="{454AE89F-565C-4E9F-ADE5-571D9CF3BB5C}" name="FECHA DE PO" dataDxfId="233"/>
    <tableColumn id="5" xr3:uid="{228CCA52-2ED8-4005-B1B1-BC80117002A0}" name="PO" dataDxfId="232"/>
    <tableColumn id="6" xr3:uid="{A539C998-2DB1-4B47-A018-915789F3CDE0}" name="INCOTERM" dataDxfId="231" dataCellStyle="Normal 3"/>
    <tableColumn id="7" xr3:uid="{29746F19-468E-4CE8-B59C-69A7C58ADCC5}" name="FACTURA" dataDxfId="230"/>
    <tableColumn id="8" xr3:uid="{CC1AE9FE-5290-4F9F-907F-F7B4C84602F0}" name="FECHA FACTURA" dataDxfId="229"/>
    <tableColumn id="9" xr3:uid="{61B1BB91-C67B-4077-A0FF-E6F786DC8367}" name="MONEDA" dataDxfId="228"/>
    <tableColumn id="10" xr3:uid="{6D012CCA-8CE4-421E-86DD-3CE96684A018}" name="VALOR FACTURA" dataDxfId="227"/>
    <tableColumn id="11" xr3:uid="{EA6383FC-6AF1-46F7-9C1C-D50A5D1E3232}" name="PLAZO DE PAGO" dataDxfId="226"/>
    <tableColumn id="12" xr3:uid="{E8873773-B313-41B4-95D3-D2DB88B9A899}" name="VTO (FECHA)" dataDxfId="225"/>
    <tableColumn id="13" xr3:uid="{335DB780-577C-4ED9-9A9E-316518D5DEDF}" name="CARPETA" dataDxfId="224"/>
    <tableColumn id="14" xr3:uid="{DC2B3CF5-221A-4D22-B29B-4193FCE27366}" name="PREVISION EMBARQUE" dataDxfId="223"/>
    <tableColumn id="15" xr3:uid="{0907A03C-A9ED-406F-92FF-6B10D02F8C5A}" name="ETD" dataDxfId="222"/>
    <tableColumn id="16" xr3:uid="{911FFF10-D21E-421C-88C6-8BFB35F8F28D}" name="ETA" dataDxfId="221"/>
    <tableColumn id="17" xr3:uid="{808F0BF1-FBD2-4859-9A81-9FF8D70459F7}" name="FECHA NECESIDAD" dataDxfId="220"/>
    <tableColumn id="18" xr3:uid="{495CD14D-F3BD-438B-90CA-2F46AC5F37E6}" name="INGRESO A STOCK " dataDxfId="219"/>
    <tableColumn id="19" xr3:uid="{A6952E49-A349-43BB-8C43-42131DC3170B}" name="OBSERVACIONES" dataDxfId="218"/>
    <tableColumn id="20" xr3:uid="{BD0F40EF-0E3F-4D9B-9441-CA8D17F5D2C9}" name="%" dataDxfId="217"/>
    <tableColumn id="21" xr3:uid="{E57FCF32-AFF9-45A2-9944-64219CE06D3E}" name="FLETE" dataDxfId="216"/>
    <tableColumn id="22" xr3:uid="{E8655C9D-F511-4B67-B2DE-9C3BE1941195}" name="GSTOS" dataDxfId="215"/>
    <tableColumn id="23" xr3:uid="{4EF82B23-ECF7-4C22-B19D-AC1D7561FAA4}" name="ESTADO" dataDxfId="214"/>
    <tableColumn id="24" xr3:uid="{D5AAAACD-2B11-46A5-B62C-A1FA1BE380F2}" name="BL/AWB" dataDxfId="213"/>
    <tableColumn id="25" xr3:uid="{6F60C736-7A3A-4CB7-AF24-D503F9301062}" name="MODAL" dataDxfId="212"/>
    <tableColumn id="26" xr3:uid="{88D65121-C1A7-45B1-A660-51D0AF6DED5C}" name="FORWARDER" dataDxfId="211"/>
    <tableColumn id="27" xr3:uid="{2F66A825-E73D-4BE4-82A3-C5DF63DDA364}" name="DUA" dataDxfId="210"/>
    <tableColumn id="28" xr3:uid="{30ED2EE9-9E44-474B-9D3F-29469D10D671}" name="BULTOS" dataDxfId="209"/>
    <tableColumn id="29" xr3:uid="{CBC1827B-EE4A-4EC0-A93F-B07BE26C54D3}" name="TIPO" dataDxfId="208"/>
    <tableColumn id="30" xr3:uid="{F9190A12-2C35-4938-AE56-686F18B7B8C3}" name="PESO" dataDxfId="207"/>
    <tableColumn id="31" xr3:uid="{ED3D3DAF-2F67-42EE-9203-1C5FEC7C7FEA}" name="CIERRE (FECHA)" dataDxfId="206"/>
    <tableColumn id="32" xr3:uid="{2666EE28-F105-4370-B884-A9C526AF1B7E}" name="Equivalente en USD" dataDxfId="205"/>
    <tableColumn id="33" xr3:uid="{BC7F042F-C071-4099-ACCC-0A4827246459}" name="prevision de USD para despacho" dataDxfId="204"/>
    <tableColumn id="34" xr3:uid="{E5464EF1-65AE-4F53-87DF-3F215A7F2FFD}" name="semana del año" dataDxfId="20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782B-DB69-49D4-8C1B-E77AE86E99D1}">
  <dimension ref="A1:AH86"/>
  <sheetViews>
    <sheetView tabSelected="1" zoomScale="74" zoomScaleNormal="74" workbookViewId="0">
      <selection activeCell="D8" sqref="D8"/>
    </sheetView>
  </sheetViews>
  <sheetFormatPr baseColWidth="10" defaultRowHeight="14.6" x14ac:dyDescent="0.4"/>
  <cols>
    <col min="4" max="5" width="11.15234375" bestFit="1" customWidth="1"/>
    <col min="7" max="7" width="11.15234375" bestFit="1" customWidth="1"/>
    <col min="8" max="8" width="12.3828125" customWidth="1"/>
    <col min="10" max="10" width="13.23046875" customWidth="1"/>
    <col min="11" max="11" width="12.23046875" customWidth="1"/>
    <col min="12" max="13" width="11.15234375" bestFit="1" customWidth="1"/>
    <col min="14" max="14" width="16.765625" customWidth="1"/>
    <col min="15" max="16" width="11.15234375" bestFit="1" customWidth="1"/>
    <col min="17" max="17" width="13.84375" customWidth="1"/>
    <col min="18" max="18" width="13.921875" customWidth="1"/>
    <col min="19" max="19" width="12.921875" customWidth="1"/>
    <col min="20" max="22" width="11.15234375" bestFit="1" customWidth="1"/>
    <col min="24" max="24" width="11.15234375" bestFit="1" customWidth="1"/>
    <col min="28" max="28" width="11.15234375" bestFit="1" customWidth="1"/>
    <col min="30" max="30" width="11.15234375" bestFit="1" customWidth="1"/>
    <col min="31" max="31" width="11.921875" customWidth="1"/>
    <col min="32" max="32" width="15.3828125" customWidth="1"/>
    <col min="33" max="33" width="23.3046875" customWidth="1"/>
    <col min="34" max="34" width="12.3828125" customWidth="1"/>
  </cols>
  <sheetData>
    <row r="1" spans="1:34" ht="15" thickBot="1" x14ac:dyDescent="0.45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3" t="s">
        <v>9</v>
      </c>
      <c r="K1" s="10" t="s">
        <v>10</v>
      </c>
      <c r="L1" s="14" t="s">
        <v>11</v>
      </c>
      <c r="M1" s="15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18" t="s">
        <v>17</v>
      </c>
      <c r="S1" s="10" t="s">
        <v>18</v>
      </c>
      <c r="T1" s="19" t="s">
        <v>19</v>
      </c>
      <c r="U1" s="10" t="s">
        <v>20</v>
      </c>
      <c r="V1" s="20" t="s">
        <v>21</v>
      </c>
      <c r="W1" s="6" t="s">
        <v>22</v>
      </c>
      <c r="X1" s="21" t="s">
        <v>23</v>
      </c>
      <c r="Y1" s="10" t="s">
        <v>24</v>
      </c>
      <c r="Z1" s="22" t="s">
        <v>25</v>
      </c>
      <c r="AA1" s="23" t="s">
        <v>26</v>
      </c>
      <c r="AB1" s="10" t="s">
        <v>27</v>
      </c>
      <c r="AC1" s="10" t="s">
        <v>28</v>
      </c>
      <c r="AD1" s="10" t="s">
        <v>29</v>
      </c>
      <c r="AE1" s="24" t="s">
        <v>30</v>
      </c>
      <c r="AF1" s="25" t="s">
        <v>31</v>
      </c>
      <c r="AG1" s="26" t="s">
        <v>32</v>
      </c>
      <c r="AH1" s="66" t="s">
        <v>33</v>
      </c>
    </row>
    <row r="2" spans="1:34" x14ac:dyDescent="0.4">
      <c r="A2" s="27" t="s">
        <v>34</v>
      </c>
      <c r="B2" s="5" t="s">
        <v>35</v>
      </c>
      <c r="C2" s="28" t="s">
        <v>36</v>
      </c>
      <c r="D2" s="29"/>
      <c r="E2" s="30"/>
      <c r="F2" s="31" t="s">
        <v>37</v>
      </c>
      <c r="G2" s="32" t="s">
        <v>38</v>
      </c>
      <c r="H2" s="33">
        <v>46128</v>
      </c>
      <c r="I2" s="32" t="s">
        <v>39</v>
      </c>
      <c r="J2" s="34">
        <v>6910.29</v>
      </c>
      <c r="K2" s="5">
        <v>90</v>
      </c>
      <c r="L2" s="33">
        <v>46218</v>
      </c>
      <c r="M2" s="5">
        <v>3169</v>
      </c>
      <c r="N2" s="33">
        <v>46132</v>
      </c>
      <c r="O2" s="35">
        <v>46137</v>
      </c>
      <c r="P2" s="35">
        <v>46187</v>
      </c>
      <c r="Q2" s="35"/>
      <c r="R2" s="5" t="s">
        <v>40</v>
      </c>
      <c r="S2" s="5" t="s">
        <v>41</v>
      </c>
      <c r="T2" s="5"/>
      <c r="U2" s="5"/>
      <c r="V2" s="5"/>
      <c r="W2" s="5" t="s">
        <v>42</v>
      </c>
      <c r="X2" s="5" t="s">
        <v>43</v>
      </c>
      <c r="Y2" s="5" t="s">
        <v>44</v>
      </c>
      <c r="Z2" s="5" t="s">
        <v>45</v>
      </c>
      <c r="AA2" s="5"/>
      <c r="AB2" s="5">
        <v>6</v>
      </c>
      <c r="AC2" s="5" t="s">
        <v>46</v>
      </c>
      <c r="AD2" s="5">
        <v>1721</v>
      </c>
      <c r="AE2" s="5"/>
      <c r="AF2" s="36">
        <v>8022.8466900000003</v>
      </c>
      <c r="AG2" s="37">
        <v>4813.7080139999998</v>
      </c>
      <c r="AH2" s="67">
        <v>25</v>
      </c>
    </row>
    <row r="3" spans="1:34" x14ac:dyDescent="0.4">
      <c r="A3" s="27" t="s">
        <v>34</v>
      </c>
      <c r="B3" s="5" t="s">
        <v>35</v>
      </c>
      <c r="C3" s="28" t="s">
        <v>36</v>
      </c>
      <c r="D3" s="29"/>
      <c r="E3" s="30"/>
      <c r="F3" s="31" t="s">
        <v>37</v>
      </c>
      <c r="G3" s="32" t="s">
        <v>47</v>
      </c>
      <c r="H3" s="33">
        <v>46128</v>
      </c>
      <c r="I3" s="32" t="s">
        <v>39</v>
      </c>
      <c r="J3" s="34">
        <v>15084.62</v>
      </c>
      <c r="K3" s="5">
        <v>90</v>
      </c>
      <c r="L3" s="33">
        <v>46218</v>
      </c>
      <c r="M3" s="5">
        <v>3169</v>
      </c>
      <c r="N3" s="33">
        <v>46132</v>
      </c>
      <c r="O3" s="35">
        <v>46137</v>
      </c>
      <c r="P3" s="35">
        <v>46187</v>
      </c>
      <c r="Q3" s="35"/>
      <c r="R3" s="5" t="s">
        <v>40</v>
      </c>
      <c r="S3" s="5"/>
      <c r="T3" s="5"/>
      <c r="U3" s="5"/>
      <c r="V3" s="5"/>
      <c r="W3" s="5" t="s">
        <v>42</v>
      </c>
      <c r="X3" s="5" t="s">
        <v>43</v>
      </c>
      <c r="Y3" s="5" t="s">
        <v>44</v>
      </c>
      <c r="Z3" s="5" t="s">
        <v>45</v>
      </c>
      <c r="AA3" s="5"/>
      <c r="AB3" s="5">
        <v>6</v>
      </c>
      <c r="AC3" s="5" t="s">
        <v>46</v>
      </c>
      <c r="AD3" s="5">
        <v>1721</v>
      </c>
      <c r="AE3" s="5"/>
      <c r="AF3" s="36">
        <v>17513.24382</v>
      </c>
      <c r="AG3" s="37">
        <v>10507.946291999999</v>
      </c>
      <c r="AH3" s="67">
        <v>25</v>
      </c>
    </row>
    <row r="4" spans="1:34" x14ac:dyDescent="0.4">
      <c r="A4" s="27" t="s">
        <v>34</v>
      </c>
      <c r="B4" s="5" t="s">
        <v>35</v>
      </c>
      <c r="C4" s="28" t="s">
        <v>36</v>
      </c>
      <c r="D4" s="29"/>
      <c r="E4" s="30"/>
      <c r="F4" s="31" t="s">
        <v>37</v>
      </c>
      <c r="G4" s="32" t="s">
        <v>48</v>
      </c>
      <c r="H4" s="33">
        <v>46129</v>
      </c>
      <c r="I4" s="32" t="s">
        <v>39</v>
      </c>
      <c r="J4" s="34">
        <v>8588.83</v>
      </c>
      <c r="K4" s="5">
        <v>90</v>
      </c>
      <c r="L4" s="33">
        <v>46219</v>
      </c>
      <c r="M4" s="5">
        <v>3169</v>
      </c>
      <c r="N4" s="33">
        <v>46132</v>
      </c>
      <c r="O4" s="35">
        <v>46137</v>
      </c>
      <c r="P4" s="35">
        <v>46187</v>
      </c>
      <c r="Q4" s="35"/>
      <c r="R4" s="5" t="s">
        <v>40</v>
      </c>
      <c r="S4" s="5"/>
      <c r="T4" s="5"/>
      <c r="U4" s="5"/>
      <c r="V4" s="5"/>
      <c r="W4" s="5" t="s">
        <v>42</v>
      </c>
      <c r="X4" s="5" t="s">
        <v>43</v>
      </c>
      <c r="Y4" s="5" t="s">
        <v>44</v>
      </c>
      <c r="Z4" s="5" t="s">
        <v>45</v>
      </c>
      <c r="AA4" s="5"/>
      <c r="AB4" s="5">
        <v>6</v>
      </c>
      <c r="AC4" s="5" t="s">
        <v>46</v>
      </c>
      <c r="AD4" s="5">
        <v>1721</v>
      </c>
      <c r="AE4" s="5"/>
      <c r="AF4" s="36">
        <v>9971.6316299999999</v>
      </c>
      <c r="AG4" s="37">
        <v>5982.9789780000001</v>
      </c>
      <c r="AH4" s="67">
        <v>25</v>
      </c>
    </row>
    <row r="5" spans="1:34" x14ac:dyDescent="0.4">
      <c r="A5" s="27" t="s">
        <v>34</v>
      </c>
      <c r="B5" s="5" t="s">
        <v>49</v>
      </c>
      <c r="C5" s="2" t="s">
        <v>50</v>
      </c>
      <c r="D5" s="5"/>
      <c r="E5" s="38"/>
      <c r="F5" s="5" t="s">
        <v>51</v>
      </c>
      <c r="G5" s="5">
        <v>5314676098</v>
      </c>
      <c r="H5" s="35">
        <v>46183</v>
      </c>
      <c r="I5" s="5" t="s">
        <v>39</v>
      </c>
      <c r="J5" s="34">
        <v>29157</v>
      </c>
      <c r="K5" s="27">
        <v>90</v>
      </c>
      <c r="L5" s="29">
        <v>46273</v>
      </c>
      <c r="M5" s="5">
        <v>3188</v>
      </c>
      <c r="N5" s="35"/>
      <c r="O5" s="35">
        <v>46186</v>
      </c>
      <c r="P5" s="35">
        <v>46189</v>
      </c>
      <c r="Q5" s="33"/>
      <c r="R5" s="5" t="s">
        <v>40</v>
      </c>
      <c r="S5" s="5"/>
      <c r="T5" s="39"/>
      <c r="U5" s="5"/>
      <c r="V5" s="5"/>
      <c r="W5" s="27" t="s">
        <v>42</v>
      </c>
      <c r="X5" s="27" t="s">
        <v>52</v>
      </c>
      <c r="Y5" s="27" t="s">
        <v>53</v>
      </c>
      <c r="Z5" s="27" t="s">
        <v>54</v>
      </c>
      <c r="AA5" s="27"/>
      <c r="AB5" s="27">
        <v>14</v>
      </c>
      <c r="AC5" s="27" t="s">
        <v>27</v>
      </c>
      <c r="AD5" s="27">
        <v>208</v>
      </c>
      <c r="AE5" s="29"/>
      <c r="AF5" s="36">
        <v>33851.277000000002</v>
      </c>
      <c r="AG5" s="37">
        <v>22003.33005</v>
      </c>
      <c r="AH5" s="67">
        <v>25</v>
      </c>
    </row>
    <row r="6" spans="1:34" x14ac:dyDescent="0.4">
      <c r="A6" s="27" t="s">
        <v>55</v>
      </c>
      <c r="B6" s="5" t="s">
        <v>56</v>
      </c>
      <c r="C6" s="2" t="s">
        <v>57</v>
      </c>
      <c r="D6" s="5"/>
      <c r="E6" s="38">
        <v>38821</v>
      </c>
      <c r="F6" s="1" t="s">
        <v>58</v>
      </c>
      <c r="G6" s="5" t="s">
        <v>59</v>
      </c>
      <c r="H6" s="35">
        <v>46157</v>
      </c>
      <c r="I6" s="5" t="s">
        <v>60</v>
      </c>
      <c r="J6" s="34">
        <v>2000</v>
      </c>
      <c r="K6" s="5" t="s">
        <v>61</v>
      </c>
      <c r="L6" s="35" t="s">
        <v>62</v>
      </c>
      <c r="M6" s="5">
        <v>3182</v>
      </c>
      <c r="N6" s="35">
        <v>46160</v>
      </c>
      <c r="O6" s="35">
        <v>46183</v>
      </c>
      <c r="P6" s="35">
        <v>46195</v>
      </c>
      <c r="Q6" s="35" t="s">
        <v>63</v>
      </c>
      <c r="R6" s="5"/>
      <c r="S6" s="5" t="s">
        <v>64</v>
      </c>
      <c r="T6" s="5"/>
      <c r="U6" s="5"/>
      <c r="V6" s="5"/>
      <c r="W6" s="5" t="s">
        <v>65</v>
      </c>
      <c r="X6" s="40">
        <v>872778966473</v>
      </c>
      <c r="Y6" s="5" t="s">
        <v>53</v>
      </c>
      <c r="Z6" s="5" t="s">
        <v>66</v>
      </c>
      <c r="AA6" s="5"/>
      <c r="AB6" s="5">
        <v>1</v>
      </c>
      <c r="AC6" s="5" t="s">
        <v>67</v>
      </c>
      <c r="AD6" s="5">
        <v>10</v>
      </c>
      <c r="AE6" s="5"/>
      <c r="AF6" s="36">
        <v>2000</v>
      </c>
      <c r="AG6" s="37">
        <v>1200</v>
      </c>
      <c r="AH6" s="67">
        <v>26</v>
      </c>
    </row>
    <row r="7" spans="1:34" x14ac:dyDescent="0.4">
      <c r="A7" s="27" t="s">
        <v>55</v>
      </c>
      <c r="B7" s="5" t="s">
        <v>68</v>
      </c>
      <c r="C7" s="28" t="s">
        <v>69</v>
      </c>
      <c r="D7" s="29">
        <v>46072</v>
      </c>
      <c r="E7" s="30">
        <v>38488</v>
      </c>
      <c r="F7" s="31" t="s">
        <v>58</v>
      </c>
      <c r="G7" s="32"/>
      <c r="H7" s="33"/>
      <c r="I7" s="32" t="s">
        <v>39</v>
      </c>
      <c r="J7" s="34">
        <v>9180</v>
      </c>
      <c r="K7" s="5" t="s">
        <v>61</v>
      </c>
      <c r="L7" s="35" t="s">
        <v>70</v>
      </c>
      <c r="M7" s="5"/>
      <c r="N7" s="35">
        <v>46155</v>
      </c>
      <c r="O7" s="35"/>
      <c r="P7" s="35">
        <v>46201</v>
      </c>
      <c r="Q7" s="35"/>
      <c r="R7" s="5"/>
      <c r="S7" s="5" t="s">
        <v>71</v>
      </c>
      <c r="T7" s="5"/>
      <c r="U7" s="5"/>
      <c r="V7" s="5"/>
      <c r="W7" s="5" t="s">
        <v>65</v>
      </c>
      <c r="X7" s="5" t="s">
        <v>72</v>
      </c>
      <c r="Y7" s="5" t="s">
        <v>44</v>
      </c>
      <c r="Z7" s="5" t="s">
        <v>45</v>
      </c>
      <c r="AA7" s="5"/>
      <c r="AB7" s="5">
        <v>2</v>
      </c>
      <c r="AC7" s="5" t="s">
        <v>46</v>
      </c>
      <c r="AD7" s="5">
        <v>349</v>
      </c>
      <c r="AE7" s="5"/>
      <c r="AF7" s="36">
        <v>10657.98</v>
      </c>
      <c r="AG7" s="37">
        <v>6394.7879999999996</v>
      </c>
      <c r="AH7" s="67">
        <v>27</v>
      </c>
    </row>
    <row r="8" spans="1:34" x14ac:dyDescent="0.4">
      <c r="A8" s="27" t="s">
        <v>55</v>
      </c>
      <c r="B8" s="5" t="s">
        <v>68</v>
      </c>
      <c r="C8" s="28" t="s">
        <v>69</v>
      </c>
      <c r="D8" s="5">
        <v>46072</v>
      </c>
      <c r="E8" s="38">
        <v>38488</v>
      </c>
      <c r="F8" s="5" t="s">
        <v>73</v>
      </c>
      <c r="G8" s="5"/>
      <c r="H8" s="35"/>
      <c r="I8" s="5" t="s">
        <v>39</v>
      </c>
      <c r="J8" s="34">
        <v>6120</v>
      </c>
      <c r="K8" s="5" t="s">
        <v>74</v>
      </c>
      <c r="L8" s="35" t="s">
        <v>70</v>
      </c>
      <c r="M8" s="5"/>
      <c r="N8" s="35">
        <v>46155</v>
      </c>
      <c r="O8" s="35"/>
      <c r="P8" s="35">
        <v>46201</v>
      </c>
      <c r="Q8" s="35"/>
      <c r="R8" s="5"/>
      <c r="S8" s="5"/>
      <c r="T8" s="5"/>
      <c r="U8" s="5"/>
      <c r="V8" s="5"/>
      <c r="W8" s="5" t="s">
        <v>65</v>
      </c>
      <c r="X8" s="5" t="s">
        <v>72</v>
      </c>
      <c r="Y8" s="5" t="s">
        <v>44</v>
      </c>
      <c r="Z8" s="5" t="s">
        <v>45</v>
      </c>
      <c r="AA8" s="5"/>
      <c r="AB8" s="5">
        <v>2</v>
      </c>
      <c r="AC8" s="5" t="s">
        <v>46</v>
      </c>
      <c r="AD8" s="5">
        <v>349</v>
      </c>
      <c r="AE8" s="5"/>
      <c r="AF8" s="36">
        <v>7105.3200000000006</v>
      </c>
      <c r="AG8" s="37">
        <v>2131.596</v>
      </c>
      <c r="AH8" s="67">
        <v>27</v>
      </c>
    </row>
    <row r="9" spans="1:34" x14ac:dyDescent="0.4">
      <c r="A9" s="27" t="s">
        <v>55</v>
      </c>
      <c r="B9" s="5" t="s">
        <v>75</v>
      </c>
      <c r="C9" s="5"/>
      <c r="D9" s="5"/>
      <c r="E9" s="38">
        <v>27142</v>
      </c>
      <c r="F9" s="5"/>
      <c r="G9" s="5"/>
      <c r="H9" s="35"/>
      <c r="I9" s="5" t="s">
        <v>60</v>
      </c>
      <c r="J9" s="34">
        <v>809.63</v>
      </c>
      <c r="K9" s="5" t="s">
        <v>76</v>
      </c>
      <c r="L9" s="35">
        <v>46178</v>
      </c>
      <c r="M9" s="5"/>
      <c r="N9" s="35">
        <v>46183</v>
      </c>
      <c r="O9" s="35"/>
      <c r="P9" s="35">
        <v>46203</v>
      </c>
      <c r="Q9" s="35"/>
      <c r="R9" s="5"/>
      <c r="S9" s="5" t="s">
        <v>77</v>
      </c>
      <c r="T9" s="5"/>
      <c r="U9" s="5"/>
      <c r="V9" s="5"/>
      <c r="W9" s="5" t="s">
        <v>78</v>
      </c>
      <c r="X9" s="5"/>
      <c r="Y9" s="5"/>
      <c r="Z9" s="5"/>
      <c r="AA9" s="5"/>
      <c r="AB9" s="5"/>
      <c r="AC9" s="5"/>
      <c r="AD9" s="5"/>
      <c r="AE9" s="5"/>
      <c r="AF9" s="36">
        <v>809.63</v>
      </c>
      <c r="AG9" s="37">
        <v>485.77799999999996</v>
      </c>
      <c r="AH9" s="67">
        <v>27</v>
      </c>
    </row>
    <row r="10" spans="1:34" x14ac:dyDescent="0.4">
      <c r="A10" s="27" t="s">
        <v>34</v>
      </c>
      <c r="B10" s="5" t="s">
        <v>79</v>
      </c>
      <c r="C10" s="5" t="s">
        <v>80</v>
      </c>
      <c r="D10" s="5"/>
      <c r="E10" s="38"/>
      <c r="F10" s="5" t="s">
        <v>81</v>
      </c>
      <c r="G10" s="5" t="s">
        <v>82</v>
      </c>
      <c r="H10" s="35">
        <v>46149</v>
      </c>
      <c r="I10" s="5" t="s">
        <v>60</v>
      </c>
      <c r="J10" s="34">
        <v>31030</v>
      </c>
      <c r="K10" s="5" t="s">
        <v>61</v>
      </c>
      <c r="L10" s="35" t="s">
        <v>83</v>
      </c>
      <c r="M10" s="5">
        <v>3164</v>
      </c>
      <c r="N10" s="35">
        <v>46146</v>
      </c>
      <c r="O10" s="35">
        <v>46151</v>
      </c>
      <c r="P10" s="35">
        <v>46203</v>
      </c>
      <c r="Q10" s="35"/>
      <c r="R10" s="5"/>
      <c r="S10" s="5"/>
      <c r="T10" s="5"/>
      <c r="U10" s="5"/>
      <c r="V10" s="5"/>
      <c r="W10" s="5" t="s">
        <v>65</v>
      </c>
      <c r="X10" s="5" t="s">
        <v>84</v>
      </c>
      <c r="Y10" s="5" t="s">
        <v>44</v>
      </c>
      <c r="Z10" s="5" t="s">
        <v>85</v>
      </c>
      <c r="AA10" s="5"/>
      <c r="AB10" s="5">
        <v>123</v>
      </c>
      <c r="AC10" s="5" t="s">
        <v>67</v>
      </c>
      <c r="AD10" s="5">
        <v>743</v>
      </c>
      <c r="AE10" s="5"/>
      <c r="AF10" s="36">
        <v>31030</v>
      </c>
      <c r="AG10" s="37">
        <v>18618</v>
      </c>
      <c r="AH10" s="67">
        <v>27</v>
      </c>
    </row>
    <row r="11" spans="1:34" ht="32.15" x14ac:dyDescent="0.4">
      <c r="A11" s="1" t="s">
        <v>86</v>
      </c>
      <c r="B11" s="1" t="s">
        <v>87</v>
      </c>
      <c r="C11" s="2" t="s">
        <v>88</v>
      </c>
      <c r="D11" s="41">
        <v>45622</v>
      </c>
      <c r="E11" s="42" t="s">
        <v>89</v>
      </c>
      <c r="F11" s="2" t="s">
        <v>81</v>
      </c>
      <c r="G11" s="3" t="s">
        <v>90</v>
      </c>
      <c r="H11" s="4">
        <v>45892</v>
      </c>
      <c r="I11" s="3" t="s">
        <v>39</v>
      </c>
      <c r="J11" s="34">
        <v>18883.2</v>
      </c>
      <c r="K11" s="1" t="s">
        <v>91</v>
      </c>
      <c r="L11" s="35" t="s">
        <v>92</v>
      </c>
      <c r="M11" s="2">
        <v>3040</v>
      </c>
      <c r="N11" s="4">
        <v>45887</v>
      </c>
      <c r="O11" s="4">
        <v>45906</v>
      </c>
      <c r="P11" s="35">
        <v>46206</v>
      </c>
      <c r="Q11" s="35" t="s">
        <v>93</v>
      </c>
      <c r="R11" s="43"/>
      <c r="S11" s="1" t="s">
        <v>94</v>
      </c>
      <c r="T11" s="44"/>
      <c r="U11" s="1"/>
      <c r="V11" s="1"/>
      <c r="W11" s="1" t="s">
        <v>95</v>
      </c>
      <c r="X11" s="1" t="s">
        <v>96</v>
      </c>
      <c r="Y11" s="27" t="s">
        <v>97</v>
      </c>
      <c r="Z11" s="27" t="s">
        <v>98</v>
      </c>
      <c r="AA11" s="27"/>
      <c r="AB11" s="27">
        <v>5</v>
      </c>
      <c r="AC11" s="27" t="s">
        <v>46</v>
      </c>
      <c r="AD11" s="27">
        <v>8625</v>
      </c>
      <c r="AE11" s="27"/>
      <c r="AF11" s="36">
        <v>21923.395200000003</v>
      </c>
      <c r="AG11" s="37">
        <v>13154.037120000001</v>
      </c>
      <c r="AH11" s="67">
        <v>27</v>
      </c>
    </row>
    <row r="12" spans="1:34" ht="32.15" x14ac:dyDescent="0.4">
      <c r="A12" s="1" t="s">
        <v>86</v>
      </c>
      <c r="B12" s="1" t="s">
        <v>99</v>
      </c>
      <c r="C12" s="2" t="s">
        <v>100</v>
      </c>
      <c r="D12" s="41"/>
      <c r="E12" s="42"/>
      <c r="F12" s="2" t="s">
        <v>58</v>
      </c>
      <c r="G12" s="3" t="s">
        <v>101</v>
      </c>
      <c r="H12" s="4">
        <v>45905</v>
      </c>
      <c r="I12" s="3" t="s">
        <v>39</v>
      </c>
      <c r="J12" s="34">
        <v>4065.12</v>
      </c>
      <c r="K12" s="1" t="s">
        <v>102</v>
      </c>
      <c r="L12" s="4" t="s">
        <v>103</v>
      </c>
      <c r="M12" s="2">
        <v>3045</v>
      </c>
      <c r="N12" s="4">
        <v>45905</v>
      </c>
      <c r="O12" s="4">
        <v>45959</v>
      </c>
      <c r="P12" s="35">
        <v>46206</v>
      </c>
      <c r="Q12" s="4" t="s">
        <v>104</v>
      </c>
      <c r="R12" s="41" t="s">
        <v>105</v>
      </c>
      <c r="S12" s="41" t="s">
        <v>106</v>
      </c>
      <c r="T12" s="44"/>
      <c r="U12" s="1"/>
      <c r="V12" s="1"/>
      <c r="W12" s="1" t="s">
        <v>95</v>
      </c>
      <c r="X12" s="1" t="s">
        <v>107</v>
      </c>
      <c r="Y12" s="1" t="s">
        <v>108</v>
      </c>
      <c r="Z12" s="1" t="s">
        <v>45</v>
      </c>
      <c r="AA12" s="1"/>
      <c r="AB12" s="1" t="s">
        <v>109</v>
      </c>
      <c r="AC12" s="1"/>
      <c r="AD12" s="1">
        <v>8524</v>
      </c>
      <c r="AE12" s="41"/>
      <c r="AF12" s="36">
        <v>12247.89984</v>
      </c>
      <c r="AG12" s="37">
        <v>7348.739904</v>
      </c>
      <c r="AH12" s="67">
        <v>31</v>
      </c>
    </row>
    <row r="13" spans="1:34" ht="32.15" x14ac:dyDescent="0.4">
      <c r="A13" s="1" t="s">
        <v>86</v>
      </c>
      <c r="B13" s="1" t="s">
        <v>99</v>
      </c>
      <c r="C13" s="2" t="s">
        <v>100</v>
      </c>
      <c r="D13" s="41"/>
      <c r="E13" s="42"/>
      <c r="F13" s="2" t="s">
        <v>58</v>
      </c>
      <c r="G13" s="3" t="s">
        <v>110</v>
      </c>
      <c r="H13" s="4">
        <v>45906</v>
      </c>
      <c r="I13" s="3" t="s">
        <v>39</v>
      </c>
      <c r="J13" s="34">
        <v>33876</v>
      </c>
      <c r="K13" s="1" t="s">
        <v>102</v>
      </c>
      <c r="L13" s="4" t="s">
        <v>103</v>
      </c>
      <c r="M13" s="2">
        <v>3045</v>
      </c>
      <c r="N13" s="4">
        <v>45905</v>
      </c>
      <c r="O13" s="4">
        <v>45959</v>
      </c>
      <c r="P13" s="35">
        <v>46206</v>
      </c>
      <c r="Q13" s="4" t="s">
        <v>111</v>
      </c>
      <c r="R13" s="41" t="s">
        <v>105</v>
      </c>
      <c r="S13" s="41" t="s">
        <v>112</v>
      </c>
      <c r="T13" s="44"/>
      <c r="U13" s="1"/>
      <c r="V13" s="1"/>
      <c r="W13" s="1" t="s">
        <v>95</v>
      </c>
      <c r="X13" s="1" t="s">
        <v>107</v>
      </c>
      <c r="Y13" s="1" t="s">
        <v>108</v>
      </c>
      <c r="Z13" s="1" t="s">
        <v>45</v>
      </c>
      <c r="AA13" s="1"/>
      <c r="AB13" s="1">
        <v>50</v>
      </c>
      <c r="AC13" s="1"/>
      <c r="AD13" s="1">
        <v>8524</v>
      </c>
      <c r="AE13" s="41"/>
      <c r="AF13" s="36">
        <v>39330.036</v>
      </c>
      <c r="AG13" s="37">
        <v>23598.0216</v>
      </c>
      <c r="AH13" s="67">
        <v>27</v>
      </c>
    </row>
    <row r="14" spans="1:34" x14ac:dyDescent="0.4">
      <c r="A14" s="45" t="s">
        <v>55</v>
      </c>
      <c r="B14" s="46" t="s">
        <v>113</v>
      </c>
      <c r="C14" s="46" t="s">
        <v>114</v>
      </c>
      <c r="D14" s="46"/>
      <c r="E14" s="47">
        <v>38824</v>
      </c>
      <c r="F14" s="46" t="s">
        <v>58</v>
      </c>
      <c r="G14" s="46" t="s">
        <v>115</v>
      </c>
      <c r="H14" s="48"/>
      <c r="I14" s="46" t="s">
        <v>60</v>
      </c>
      <c r="J14" s="49">
        <v>4500</v>
      </c>
      <c r="K14" s="46" t="s">
        <v>116</v>
      </c>
      <c r="L14" s="48" t="s">
        <v>117</v>
      </c>
      <c r="M14" s="48"/>
      <c r="N14" s="48">
        <v>46160</v>
      </c>
      <c r="O14" s="48">
        <v>46176</v>
      </c>
      <c r="P14" s="48">
        <v>46207</v>
      </c>
      <c r="Q14" s="48">
        <v>46143</v>
      </c>
      <c r="R14" s="46"/>
      <c r="S14" s="46" t="s">
        <v>118</v>
      </c>
      <c r="T14" s="46"/>
      <c r="U14" s="46">
        <v>759</v>
      </c>
      <c r="V14" s="46">
        <v>250</v>
      </c>
      <c r="W14" s="46" t="s">
        <v>119</v>
      </c>
      <c r="X14" s="46" t="s">
        <v>120</v>
      </c>
      <c r="Y14" s="46" t="s">
        <v>44</v>
      </c>
      <c r="Z14" s="46"/>
      <c r="AA14" s="46"/>
      <c r="AB14" s="46" t="s">
        <v>121</v>
      </c>
      <c r="AC14" s="46" t="s">
        <v>122</v>
      </c>
      <c r="AD14" s="46">
        <v>338</v>
      </c>
      <c r="AE14" s="46"/>
      <c r="AF14" s="36">
        <v>4500</v>
      </c>
      <c r="AG14" s="37">
        <v>2700</v>
      </c>
      <c r="AH14" s="67">
        <v>27</v>
      </c>
    </row>
    <row r="15" spans="1:34" x14ac:dyDescent="0.4">
      <c r="A15" s="45" t="s">
        <v>34</v>
      </c>
      <c r="B15" s="46" t="s">
        <v>123</v>
      </c>
      <c r="C15" s="50" t="s">
        <v>114</v>
      </c>
      <c r="D15" s="51"/>
      <c r="E15" s="45" t="s">
        <v>124</v>
      </c>
      <c r="F15" s="52" t="s">
        <v>81</v>
      </c>
      <c r="G15" s="53" t="s">
        <v>125</v>
      </c>
      <c r="H15" s="54">
        <v>46133</v>
      </c>
      <c r="I15" s="55" t="s">
        <v>60</v>
      </c>
      <c r="J15" s="34">
        <v>22040</v>
      </c>
      <c r="K15" s="46" t="s">
        <v>61</v>
      </c>
      <c r="L15" s="48">
        <v>46105</v>
      </c>
      <c r="M15" s="50">
        <v>3160</v>
      </c>
      <c r="N15" s="54">
        <v>46152</v>
      </c>
      <c r="O15" s="48">
        <v>46190</v>
      </c>
      <c r="P15" s="48">
        <v>46228</v>
      </c>
      <c r="Q15" s="54"/>
      <c r="R15" s="51"/>
      <c r="S15" s="46"/>
      <c r="T15" s="46"/>
      <c r="U15" s="46"/>
      <c r="V15" s="46"/>
      <c r="W15" s="46" t="s">
        <v>65</v>
      </c>
      <c r="X15" s="45" t="s">
        <v>126</v>
      </c>
      <c r="Y15" s="45" t="s">
        <v>44</v>
      </c>
      <c r="Z15" s="45" t="s">
        <v>85</v>
      </c>
      <c r="AA15" s="45"/>
      <c r="AB15" s="45">
        <v>134</v>
      </c>
      <c r="AC15" s="45" t="s">
        <v>67</v>
      </c>
      <c r="AD15" s="45">
        <v>1532</v>
      </c>
      <c r="AE15" s="45"/>
      <c r="AF15" s="36">
        <v>22040</v>
      </c>
      <c r="AG15" s="37">
        <v>13224</v>
      </c>
      <c r="AH15" s="67">
        <v>30</v>
      </c>
    </row>
    <row r="16" spans="1:34" x14ac:dyDescent="0.4">
      <c r="A16" s="27" t="s">
        <v>55</v>
      </c>
      <c r="B16" s="5" t="s">
        <v>127</v>
      </c>
      <c r="C16" s="5" t="s">
        <v>114</v>
      </c>
      <c r="D16" s="5"/>
      <c r="E16" s="5" t="s">
        <v>128</v>
      </c>
      <c r="F16" s="5" t="s">
        <v>81</v>
      </c>
      <c r="G16" s="5" t="s">
        <v>129</v>
      </c>
      <c r="H16" s="35"/>
      <c r="I16" s="5" t="s">
        <v>60</v>
      </c>
      <c r="J16" s="34">
        <v>9300</v>
      </c>
      <c r="K16" s="5" t="s">
        <v>130</v>
      </c>
      <c r="L16" s="35" t="s">
        <v>131</v>
      </c>
      <c r="M16" s="5" t="s">
        <v>132</v>
      </c>
      <c r="N16" s="35">
        <v>46143</v>
      </c>
      <c r="O16" s="35">
        <v>46175</v>
      </c>
      <c r="P16" s="35">
        <v>46214</v>
      </c>
      <c r="Q16" s="35">
        <v>45839</v>
      </c>
      <c r="R16" s="5"/>
      <c r="S16" s="5"/>
      <c r="T16" s="5"/>
      <c r="U16" s="5"/>
      <c r="V16" s="5"/>
      <c r="W16" s="5" t="s">
        <v>65</v>
      </c>
      <c r="X16" s="5" t="s">
        <v>133</v>
      </c>
      <c r="Y16" s="5" t="s">
        <v>44</v>
      </c>
      <c r="Z16" s="5" t="s">
        <v>85</v>
      </c>
      <c r="AA16" s="5"/>
      <c r="AB16" s="5" t="s">
        <v>134</v>
      </c>
      <c r="AC16" s="5"/>
      <c r="AD16" s="5">
        <v>1363</v>
      </c>
      <c r="AE16" s="5"/>
      <c r="AF16" s="36">
        <v>9300</v>
      </c>
      <c r="AG16" s="37">
        <v>5580</v>
      </c>
      <c r="AH16" s="67">
        <v>28</v>
      </c>
    </row>
    <row r="17" spans="1:34" x14ac:dyDescent="0.4">
      <c r="A17" s="27" t="s">
        <v>34</v>
      </c>
      <c r="B17" s="5" t="s">
        <v>135</v>
      </c>
      <c r="C17" s="5" t="s">
        <v>136</v>
      </c>
      <c r="D17" s="5"/>
      <c r="E17" s="5"/>
      <c r="F17" s="5"/>
      <c r="G17" s="5">
        <v>9511602359</v>
      </c>
      <c r="H17" s="35">
        <v>46163</v>
      </c>
      <c r="I17" s="5" t="s">
        <v>60</v>
      </c>
      <c r="J17" s="56">
        <v>95</v>
      </c>
      <c r="K17" s="5">
        <v>60</v>
      </c>
      <c r="L17" s="35">
        <v>46223</v>
      </c>
      <c r="M17" s="5">
        <v>3177</v>
      </c>
      <c r="N17" s="35">
        <v>46183</v>
      </c>
      <c r="O17" s="35">
        <v>46186</v>
      </c>
      <c r="P17" s="35">
        <v>46216</v>
      </c>
      <c r="Q17" s="35"/>
      <c r="R17" s="5"/>
      <c r="S17" s="5" t="s">
        <v>137</v>
      </c>
      <c r="T17" s="5"/>
      <c r="U17" s="5"/>
      <c r="V17" s="5"/>
      <c r="W17" s="5" t="s">
        <v>119</v>
      </c>
      <c r="X17" s="5"/>
      <c r="Y17" s="5" t="s">
        <v>44</v>
      </c>
      <c r="Z17" s="5"/>
      <c r="AA17" s="5"/>
      <c r="AB17" s="5">
        <v>1</v>
      </c>
      <c r="AC17" s="5" t="s">
        <v>67</v>
      </c>
      <c r="AD17" s="5">
        <v>1.22</v>
      </c>
      <c r="AE17" s="5"/>
      <c r="AF17" s="36">
        <v>95</v>
      </c>
      <c r="AG17" s="37">
        <v>57</v>
      </c>
      <c r="AH17" s="67">
        <v>29</v>
      </c>
    </row>
    <row r="18" spans="1:34" x14ac:dyDescent="0.4">
      <c r="A18" s="27" t="s">
        <v>34</v>
      </c>
      <c r="B18" s="5" t="s">
        <v>135</v>
      </c>
      <c r="C18" s="5" t="s">
        <v>136</v>
      </c>
      <c r="D18" s="5"/>
      <c r="E18" s="5"/>
      <c r="F18" s="5"/>
      <c r="G18" s="5">
        <v>9511574214</v>
      </c>
      <c r="H18" s="35">
        <v>46157</v>
      </c>
      <c r="I18" s="5" t="s">
        <v>60</v>
      </c>
      <c r="J18" s="56">
        <v>1304.78</v>
      </c>
      <c r="K18" s="5">
        <v>60</v>
      </c>
      <c r="L18" s="35">
        <v>46217</v>
      </c>
      <c r="M18" s="5">
        <v>3177</v>
      </c>
      <c r="N18" s="35">
        <v>46183</v>
      </c>
      <c r="O18" s="35">
        <v>46186</v>
      </c>
      <c r="P18" s="35">
        <v>46216</v>
      </c>
      <c r="Q18" s="35"/>
      <c r="R18" s="5"/>
      <c r="S18" s="5" t="s">
        <v>137</v>
      </c>
      <c r="T18" s="5"/>
      <c r="U18" s="5"/>
      <c r="V18" s="5"/>
      <c r="W18" s="5" t="s">
        <v>119</v>
      </c>
      <c r="X18" s="5"/>
      <c r="Y18" s="5" t="s">
        <v>44</v>
      </c>
      <c r="Z18" s="5"/>
      <c r="AA18" s="5"/>
      <c r="AB18" s="5">
        <v>1</v>
      </c>
      <c r="AC18" s="5" t="s">
        <v>67</v>
      </c>
      <c r="AD18" s="5">
        <v>20.399999999999999</v>
      </c>
      <c r="AE18" s="5"/>
      <c r="AF18" s="36">
        <v>1304.78</v>
      </c>
      <c r="AG18" s="37">
        <v>782.86799999999994</v>
      </c>
      <c r="AH18" s="67">
        <v>29</v>
      </c>
    </row>
    <row r="19" spans="1:34" x14ac:dyDescent="0.4">
      <c r="A19" s="27" t="s">
        <v>34</v>
      </c>
      <c r="B19" s="5" t="s">
        <v>135</v>
      </c>
      <c r="C19" s="5" t="s">
        <v>136</v>
      </c>
      <c r="D19" s="5"/>
      <c r="E19" s="5"/>
      <c r="F19" s="5"/>
      <c r="G19" s="5">
        <v>9511477823</v>
      </c>
      <c r="H19" s="35">
        <v>46135</v>
      </c>
      <c r="I19" s="5" t="s">
        <v>60</v>
      </c>
      <c r="J19" s="56">
        <v>21191.72</v>
      </c>
      <c r="K19" s="5">
        <v>60</v>
      </c>
      <c r="L19" s="35">
        <v>46195</v>
      </c>
      <c r="M19" s="5">
        <v>3177</v>
      </c>
      <c r="N19" s="35">
        <v>46183</v>
      </c>
      <c r="O19" s="35">
        <v>46186</v>
      </c>
      <c r="P19" s="35">
        <v>46216</v>
      </c>
      <c r="Q19" s="35"/>
      <c r="R19" s="5"/>
      <c r="S19" s="5" t="s">
        <v>137</v>
      </c>
      <c r="T19" s="5"/>
      <c r="U19" s="5"/>
      <c r="V19" s="5"/>
      <c r="W19" s="5" t="s">
        <v>119</v>
      </c>
      <c r="X19" s="5"/>
      <c r="Y19" s="5" t="s">
        <v>44</v>
      </c>
      <c r="Z19" s="5"/>
      <c r="AA19" s="5"/>
      <c r="AB19" s="5">
        <v>2</v>
      </c>
      <c r="AC19" s="5" t="s">
        <v>138</v>
      </c>
      <c r="AD19" s="5">
        <v>238</v>
      </c>
      <c r="AE19" s="5"/>
      <c r="AF19" s="36">
        <v>21191.72</v>
      </c>
      <c r="AG19" s="37">
        <v>12715.032000000001</v>
      </c>
      <c r="AH19" s="67">
        <v>29</v>
      </c>
    </row>
    <row r="20" spans="1:34" x14ac:dyDescent="0.4">
      <c r="A20" s="27" t="s">
        <v>34</v>
      </c>
      <c r="B20" s="5" t="s">
        <v>135</v>
      </c>
      <c r="C20" s="5" t="s">
        <v>136</v>
      </c>
      <c r="D20" s="5"/>
      <c r="E20" s="5"/>
      <c r="F20" s="5"/>
      <c r="G20" s="5" t="s">
        <v>139</v>
      </c>
      <c r="H20" s="35">
        <v>46135</v>
      </c>
      <c r="I20" s="5" t="s">
        <v>60</v>
      </c>
      <c r="J20" s="56">
        <v>501.6</v>
      </c>
      <c r="K20" s="5">
        <v>60</v>
      </c>
      <c r="L20" s="35">
        <v>46195</v>
      </c>
      <c r="M20" s="5">
        <v>3177</v>
      </c>
      <c r="N20" s="35">
        <v>46183</v>
      </c>
      <c r="O20" s="35">
        <v>46186</v>
      </c>
      <c r="P20" s="35">
        <v>46216</v>
      </c>
      <c r="Q20" s="35"/>
      <c r="R20" s="5"/>
      <c r="S20" s="5" t="s">
        <v>137</v>
      </c>
      <c r="T20" s="5"/>
      <c r="U20" s="5"/>
      <c r="V20" s="5"/>
      <c r="W20" s="5" t="s">
        <v>119</v>
      </c>
      <c r="X20" s="5"/>
      <c r="Y20" s="5" t="s">
        <v>44</v>
      </c>
      <c r="Z20" s="5"/>
      <c r="AA20" s="5"/>
      <c r="AB20" s="5">
        <v>2</v>
      </c>
      <c r="AC20" s="5" t="s">
        <v>138</v>
      </c>
      <c r="AD20" s="5">
        <v>238</v>
      </c>
      <c r="AE20" s="5"/>
      <c r="AF20" s="36">
        <v>501.6</v>
      </c>
      <c r="AG20" s="37">
        <v>300.95999999999998</v>
      </c>
      <c r="AH20" s="67">
        <v>29</v>
      </c>
    </row>
    <row r="21" spans="1:34" x14ac:dyDescent="0.4">
      <c r="A21" s="27" t="s">
        <v>34</v>
      </c>
      <c r="B21" s="5" t="s">
        <v>135</v>
      </c>
      <c r="C21" s="5" t="s">
        <v>136</v>
      </c>
      <c r="D21" s="5"/>
      <c r="E21" s="5"/>
      <c r="F21" s="5"/>
      <c r="G21" s="5" t="s">
        <v>140</v>
      </c>
      <c r="H21" s="35">
        <v>46135</v>
      </c>
      <c r="I21" s="5" t="s">
        <v>60</v>
      </c>
      <c r="J21" s="56">
        <v>1676</v>
      </c>
      <c r="K21" s="5">
        <v>60</v>
      </c>
      <c r="L21" s="35">
        <v>46195</v>
      </c>
      <c r="M21" s="5">
        <v>3177</v>
      </c>
      <c r="N21" s="35">
        <v>46183</v>
      </c>
      <c r="O21" s="35">
        <v>46186</v>
      </c>
      <c r="P21" s="35">
        <v>46216</v>
      </c>
      <c r="Q21" s="35"/>
      <c r="R21" s="5"/>
      <c r="S21" s="5" t="s">
        <v>137</v>
      </c>
      <c r="T21" s="5"/>
      <c r="U21" s="5"/>
      <c r="V21" s="5"/>
      <c r="W21" s="5" t="s">
        <v>119</v>
      </c>
      <c r="X21" s="5"/>
      <c r="Y21" s="5" t="s">
        <v>44</v>
      </c>
      <c r="Z21" s="5"/>
      <c r="AA21" s="5"/>
      <c r="AB21" s="5">
        <v>2</v>
      </c>
      <c r="AC21" s="5" t="s">
        <v>138</v>
      </c>
      <c r="AD21" s="5">
        <v>238</v>
      </c>
      <c r="AE21" s="5"/>
      <c r="AF21" s="36">
        <v>1676</v>
      </c>
      <c r="AG21" s="37">
        <v>1005.5999999999999</v>
      </c>
      <c r="AH21" s="67">
        <v>29</v>
      </c>
    </row>
    <row r="22" spans="1:34" x14ac:dyDescent="0.4">
      <c r="A22" s="27" t="s">
        <v>55</v>
      </c>
      <c r="B22" s="5" t="s">
        <v>141</v>
      </c>
      <c r="C22" s="2" t="s">
        <v>50</v>
      </c>
      <c r="D22" s="5"/>
      <c r="E22" s="5" t="s">
        <v>142</v>
      </c>
      <c r="F22" s="5" t="s">
        <v>58</v>
      </c>
      <c r="G22" s="5"/>
      <c r="H22" s="35"/>
      <c r="I22" s="5" t="s">
        <v>39</v>
      </c>
      <c r="J22" s="34">
        <v>9736</v>
      </c>
      <c r="K22" s="5">
        <v>30</v>
      </c>
      <c r="L22" s="35"/>
      <c r="M22" s="5"/>
      <c r="N22" s="35">
        <v>46188</v>
      </c>
      <c r="O22" s="35"/>
      <c r="P22" s="35">
        <v>46218</v>
      </c>
      <c r="Q22" s="35"/>
      <c r="R22" s="5"/>
      <c r="S22" s="5" t="s">
        <v>143</v>
      </c>
      <c r="T22" s="5"/>
      <c r="U22" s="5"/>
      <c r="V22" s="5"/>
      <c r="W22" s="5" t="s">
        <v>119</v>
      </c>
      <c r="X22" s="5"/>
      <c r="Y22" s="5" t="s">
        <v>44</v>
      </c>
      <c r="Z22" s="5"/>
      <c r="AA22" s="5"/>
      <c r="AB22" s="5"/>
      <c r="AC22" s="5"/>
      <c r="AD22" s="5"/>
      <c r="AE22" s="5"/>
      <c r="AF22" s="36">
        <v>11303.496000000001</v>
      </c>
      <c r="AG22" s="37">
        <v>6782.0976000000001</v>
      </c>
      <c r="AH22" s="67">
        <v>29</v>
      </c>
    </row>
    <row r="23" spans="1:34" x14ac:dyDescent="0.4">
      <c r="A23" s="1" t="s">
        <v>55</v>
      </c>
      <c r="B23" s="1" t="s">
        <v>144</v>
      </c>
      <c r="C23" s="28" t="s">
        <v>50</v>
      </c>
      <c r="D23" s="5" t="s">
        <v>145</v>
      </c>
      <c r="E23" s="5"/>
      <c r="F23" s="1" t="s">
        <v>58</v>
      </c>
      <c r="G23" s="5">
        <v>20261000874</v>
      </c>
      <c r="H23" s="35">
        <v>46160</v>
      </c>
      <c r="I23" s="5" t="s">
        <v>39</v>
      </c>
      <c r="J23" s="56">
        <v>3179</v>
      </c>
      <c r="K23" s="5"/>
      <c r="L23" s="35">
        <v>46190</v>
      </c>
      <c r="M23" s="28">
        <v>3180</v>
      </c>
      <c r="N23" s="33"/>
      <c r="O23" s="35">
        <v>46176</v>
      </c>
      <c r="P23" s="35">
        <v>46219</v>
      </c>
      <c r="Q23" s="33"/>
      <c r="R23" s="29"/>
      <c r="S23" s="5" t="s">
        <v>146</v>
      </c>
      <c r="T23" s="39"/>
      <c r="U23" s="5">
        <v>940.5</v>
      </c>
      <c r="V23" s="5">
        <v>1247</v>
      </c>
      <c r="W23" s="27" t="s">
        <v>65</v>
      </c>
      <c r="X23" s="27" t="s">
        <v>147</v>
      </c>
      <c r="Y23" s="5" t="s">
        <v>44</v>
      </c>
      <c r="Z23" s="5" t="s">
        <v>85</v>
      </c>
      <c r="AA23" s="27"/>
      <c r="AB23" s="27">
        <v>1</v>
      </c>
      <c r="AC23" s="5" t="s">
        <v>148</v>
      </c>
      <c r="AD23" s="27">
        <v>1100</v>
      </c>
      <c r="AE23" s="29"/>
      <c r="AF23" s="36">
        <v>3690.819</v>
      </c>
      <c r="AG23" s="37">
        <v>2214.4913999999999</v>
      </c>
      <c r="AH23" s="67">
        <v>29</v>
      </c>
    </row>
    <row r="24" spans="1:34" x14ac:dyDescent="0.4">
      <c r="A24" s="1" t="s">
        <v>55</v>
      </c>
      <c r="B24" s="1" t="s">
        <v>144</v>
      </c>
      <c r="C24" s="28" t="s">
        <v>50</v>
      </c>
      <c r="D24" s="5"/>
      <c r="E24" s="5"/>
      <c r="F24" s="1" t="s">
        <v>58</v>
      </c>
      <c r="G24" s="5">
        <v>20261000874</v>
      </c>
      <c r="H24" s="35">
        <v>46160</v>
      </c>
      <c r="I24" s="5" t="s">
        <v>39</v>
      </c>
      <c r="J24" s="56">
        <v>9883</v>
      </c>
      <c r="K24" s="5"/>
      <c r="L24" s="35">
        <v>46190</v>
      </c>
      <c r="M24" s="28">
        <v>3180</v>
      </c>
      <c r="N24" s="33"/>
      <c r="O24" s="35">
        <v>46176</v>
      </c>
      <c r="P24" s="35">
        <v>46219</v>
      </c>
      <c r="Q24" s="33"/>
      <c r="R24" s="29"/>
      <c r="S24" s="5" t="s">
        <v>149</v>
      </c>
      <c r="T24" s="39"/>
      <c r="U24" s="5">
        <v>940.5</v>
      </c>
      <c r="V24" s="5">
        <v>1247</v>
      </c>
      <c r="W24" s="27" t="s">
        <v>65</v>
      </c>
      <c r="X24" s="27" t="s">
        <v>147</v>
      </c>
      <c r="Y24" s="5" t="s">
        <v>44</v>
      </c>
      <c r="Z24" s="5" t="s">
        <v>85</v>
      </c>
      <c r="AA24" s="27"/>
      <c r="AB24" s="27">
        <v>4</v>
      </c>
      <c r="AC24" s="5" t="s">
        <v>148</v>
      </c>
      <c r="AD24" s="27">
        <v>4200</v>
      </c>
      <c r="AE24" s="29"/>
      <c r="AF24" s="36">
        <v>11474.163</v>
      </c>
      <c r="AG24" s="37">
        <v>7458.2059500000005</v>
      </c>
      <c r="AH24" s="67">
        <v>29</v>
      </c>
    </row>
    <row r="25" spans="1:34" x14ac:dyDescent="0.4">
      <c r="A25" s="27" t="s">
        <v>34</v>
      </c>
      <c r="B25" s="5" t="s">
        <v>150</v>
      </c>
      <c r="C25" s="31" t="s">
        <v>50</v>
      </c>
      <c r="D25" s="5"/>
      <c r="E25" s="5"/>
      <c r="F25" s="5" t="s">
        <v>81</v>
      </c>
      <c r="G25" s="5"/>
      <c r="H25" s="35">
        <v>46170</v>
      </c>
      <c r="I25" s="5" t="s">
        <v>39</v>
      </c>
      <c r="J25" s="34">
        <v>111483.83</v>
      </c>
      <c r="K25" s="5">
        <v>90</v>
      </c>
      <c r="L25" s="35">
        <v>46260</v>
      </c>
      <c r="M25" s="57">
        <v>3189</v>
      </c>
      <c r="N25" s="33"/>
      <c r="O25" s="35">
        <v>46189</v>
      </c>
      <c r="P25" s="35">
        <v>46219</v>
      </c>
      <c r="Q25" s="33"/>
      <c r="R25" s="29"/>
      <c r="S25" s="5"/>
      <c r="T25" s="39"/>
      <c r="U25" s="5"/>
      <c r="V25" s="5"/>
      <c r="W25" s="27" t="s">
        <v>65</v>
      </c>
      <c r="X25" s="27" t="s">
        <v>151</v>
      </c>
      <c r="Y25" s="27" t="s">
        <v>44</v>
      </c>
      <c r="Z25" s="27" t="s">
        <v>152</v>
      </c>
      <c r="AA25" s="27"/>
      <c r="AB25" s="27">
        <v>32</v>
      </c>
      <c r="AC25" s="27" t="s">
        <v>27</v>
      </c>
      <c r="AD25" s="27">
        <v>4100</v>
      </c>
      <c r="AE25" s="29"/>
      <c r="AF25" s="36">
        <v>129432.72663</v>
      </c>
      <c r="AG25" s="37">
        <v>84131.272309500011</v>
      </c>
      <c r="AH25" s="67">
        <v>29</v>
      </c>
    </row>
    <row r="26" spans="1:34" x14ac:dyDescent="0.4">
      <c r="A26" s="45" t="s">
        <v>34</v>
      </c>
      <c r="B26" s="46" t="s">
        <v>153</v>
      </c>
      <c r="C26" s="46" t="s">
        <v>114</v>
      </c>
      <c r="D26" s="46"/>
      <c r="E26" s="46"/>
      <c r="F26" s="46" t="s">
        <v>81</v>
      </c>
      <c r="G26" s="46" t="s">
        <v>115</v>
      </c>
      <c r="H26" s="48">
        <v>46056</v>
      </c>
      <c r="I26" s="46" t="s">
        <v>60</v>
      </c>
      <c r="J26" s="56">
        <v>24597.8</v>
      </c>
      <c r="K26" s="46" t="s">
        <v>154</v>
      </c>
      <c r="L26" s="48" t="s">
        <v>155</v>
      </c>
      <c r="M26" s="46"/>
      <c r="N26" s="48">
        <v>46133</v>
      </c>
      <c r="O26" s="48">
        <v>46167</v>
      </c>
      <c r="P26" s="48">
        <v>46221</v>
      </c>
      <c r="Q26" s="48"/>
      <c r="R26" s="46"/>
      <c r="S26" s="46" t="s">
        <v>156</v>
      </c>
      <c r="T26" s="46"/>
      <c r="U26" s="46">
        <v>553</v>
      </c>
      <c r="V26" s="46">
        <v>570</v>
      </c>
      <c r="W26" s="46" t="s">
        <v>119</v>
      </c>
      <c r="X26" s="46" t="s">
        <v>157</v>
      </c>
      <c r="Y26" s="46" t="s">
        <v>158</v>
      </c>
      <c r="Z26" s="46" t="s">
        <v>159</v>
      </c>
      <c r="AA26" s="46"/>
      <c r="AB26" s="46">
        <v>95</v>
      </c>
      <c r="AC26" s="46" t="s">
        <v>67</v>
      </c>
      <c r="AD26" s="46">
        <v>760</v>
      </c>
      <c r="AE26" s="46"/>
      <c r="AF26" s="36">
        <v>24597.8</v>
      </c>
      <c r="AG26" s="37">
        <v>14758.679999999998</v>
      </c>
      <c r="AH26" s="67">
        <v>29</v>
      </c>
    </row>
    <row r="27" spans="1:34" x14ac:dyDescent="0.4">
      <c r="A27" s="27" t="s">
        <v>55</v>
      </c>
      <c r="B27" s="5" t="s">
        <v>160</v>
      </c>
      <c r="C27" s="5" t="s">
        <v>161</v>
      </c>
      <c r="D27" s="5"/>
      <c r="E27" s="5">
        <v>39161</v>
      </c>
      <c r="F27" s="1" t="s">
        <v>58</v>
      </c>
      <c r="G27" s="5" t="s">
        <v>115</v>
      </c>
      <c r="H27" s="35"/>
      <c r="I27" s="5" t="s">
        <v>60</v>
      </c>
      <c r="J27" s="5">
        <v>43078</v>
      </c>
      <c r="K27" s="5" t="s">
        <v>162</v>
      </c>
      <c r="L27" s="35" t="s">
        <v>296</v>
      </c>
      <c r="M27" s="28"/>
      <c r="N27" s="33">
        <v>46202</v>
      </c>
      <c r="O27" s="35"/>
      <c r="P27" s="35">
        <v>46222</v>
      </c>
      <c r="Q27" s="33"/>
      <c r="R27" s="29"/>
      <c r="S27" s="5"/>
      <c r="T27" s="39"/>
      <c r="U27" s="5"/>
      <c r="V27" s="5"/>
      <c r="W27" s="5" t="s">
        <v>163</v>
      </c>
      <c r="X27" s="27"/>
      <c r="Y27" s="27" t="s">
        <v>164</v>
      </c>
      <c r="Z27" s="27"/>
      <c r="AA27" s="27"/>
      <c r="AB27" s="27"/>
      <c r="AC27" s="27"/>
      <c r="AD27" s="27"/>
      <c r="AE27" s="29"/>
      <c r="AF27" s="36">
        <v>43078</v>
      </c>
      <c r="AG27" s="37">
        <v>28000.7</v>
      </c>
      <c r="AH27" s="67">
        <v>30</v>
      </c>
    </row>
    <row r="28" spans="1:34" x14ac:dyDescent="0.4">
      <c r="A28" s="27" t="s">
        <v>34</v>
      </c>
      <c r="B28" s="5" t="s">
        <v>165</v>
      </c>
      <c r="C28" s="28" t="s">
        <v>100</v>
      </c>
      <c r="D28" s="29"/>
      <c r="E28" s="27"/>
      <c r="F28" s="1" t="s">
        <v>37</v>
      </c>
      <c r="G28" s="32" t="s">
        <v>166</v>
      </c>
      <c r="H28" s="33">
        <v>46119</v>
      </c>
      <c r="I28" s="58" t="s">
        <v>39</v>
      </c>
      <c r="J28" s="34">
        <v>14664.93</v>
      </c>
      <c r="K28" s="5">
        <v>60</v>
      </c>
      <c r="L28" s="35">
        <v>46179</v>
      </c>
      <c r="M28" s="28">
        <v>3171</v>
      </c>
      <c r="N28" s="33">
        <v>46153</v>
      </c>
      <c r="O28" s="35">
        <v>46184</v>
      </c>
      <c r="P28" s="35">
        <v>46224</v>
      </c>
      <c r="Q28" s="33"/>
      <c r="R28" s="29"/>
      <c r="S28" s="5" t="s">
        <v>167</v>
      </c>
      <c r="T28" s="5"/>
      <c r="U28" s="5"/>
      <c r="V28" s="5"/>
      <c r="W28" s="5" t="s">
        <v>65</v>
      </c>
      <c r="X28" s="27" t="s">
        <v>168</v>
      </c>
      <c r="Y28" s="27" t="s">
        <v>44</v>
      </c>
      <c r="Z28" s="5" t="s">
        <v>45</v>
      </c>
      <c r="AA28" s="27"/>
      <c r="AB28" s="27">
        <v>2</v>
      </c>
      <c r="AC28" s="27" t="s">
        <v>46</v>
      </c>
      <c r="AD28" s="27">
        <v>335</v>
      </c>
      <c r="AE28" s="27"/>
      <c r="AF28" s="36">
        <v>17025.98373</v>
      </c>
      <c r="AG28" s="37">
        <v>10215.590237999999</v>
      </c>
      <c r="AH28" s="67">
        <v>30</v>
      </c>
    </row>
    <row r="29" spans="1:34" x14ac:dyDescent="0.4">
      <c r="A29" s="27" t="s">
        <v>34</v>
      </c>
      <c r="B29" s="5" t="s">
        <v>35</v>
      </c>
      <c r="C29" s="5" t="s">
        <v>100</v>
      </c>
      <c r="D29" s="5"/>
      <c r="E29" s="5"/>
      <c r="F29" s="5" t="s">
        <v>81</v>
      </c>
      <c r="G29" s="5">
        <v>26013245</v>
      </c>
      <c r="H29" s="35">
        <v>46162</v>
      </c>
      <c r="I29" s="32" t="s">
        <v>39</v>
      </c>
      <c r="J29" s="34">
        <v>12155.63</v>
      </c>
      <c r="K29" s="5">
        <v>90</v>
      </c>
      <c r="L29" s="35">
        <v>46252</v>
      </c>
      <c r="M29" s="5">
        <v>3172</v>
      </c>
      <c r="N29" s="35" t="s">
        <v>169</v>
      </c>
      <c r="O29" s="35">
        <v>46184</v>
      </c>
      <c r="P29" s="35">
        <v>46224</v>
      </c>
      <c r="Q29" s="35"/>
      <c r="R29" s="5"/>
      <c r="S29" s="5" t="s">
        <v>170</v>
      </c>
      <c r="T29" s="5"/>
      <c r="U29" s="5">
        <v>1456</v>
      </c>
      <c r="V29" s="5">
        <v>395</v>
      </c>
      <c r="W29" s="5" t="s">
        <v>65</v>
      </c>
      <c r="X29" s="5"/>
      <c r="Y29" s="5" t="s">
        <v>44</v>
      </c>
      <c r="Z29" s="5" t="s">
        <v>45</v>
      </c>
      <c r="AA29" s="5"/>
      <c r="AB29" s="5">
        <v>9</v>
      </c>
      <c r="AC29" s="5" t="s">
        <v>46</v>
      </c>
      <c r="AD29" s="5">
        <v>2481.87</v>
      </c>
      <c r="AE29" s="5"/>
      <c r="AF29" s="36">
        <v>14112.68643</v>
      </c>
      <c r="AG29" s="37">
        <v>8467.6118580000002</v>
      </c>
      <c r="AH29" s="67">
        <v>30</v>
      </c>
    </row>
    <row r="30" spans="1:34" x14ac:dyDescent="0.4">
      <c r="A30" s="27" t="s">
        <v>34</v>
      </c>
      <c r="B30" s="5" t="s">
        <v>35</v>
      </c>
      <c r="C30" s="5" t="s">
        <v>100</v>
      </c>
      <c r="D30" s="5"/>
      <c r="E30" s="5"/>
      <c r="F30" s="5" t="s">
        <v>81</v>
      </c>
      <c r="G30" s="5">
        <v>26013246</v>
      </c>
      <c r="H30" s="35">
        <v>46162</v>
      </c>
      <c r="I30" s="32" t="s">
        <v>39</v>
      </c>
      <c r="J30" s="34">
        <v>6472.8</v>
      </c>
      <c r="K30" s="5">
        <v>90</v>
      </c>
      <c r="L30" s="35">
        <v>46252</v>
      </c>
      <c r="M30" s="5">
        <v>3172</v>
      </c>
      <c r="N30" s="35" t="s">
        <v>169</v>
      </c>
      <c r="O30" s="35">
        <v>46184</v>
      </c>
      <c r="P30" s="35">
        <v>46224</v>
      </c>
      <c r="Q30" s="35"/>
      <c r="R30" s="5"/>
      <c r="S30" s="5" t="s">
        <v>170</v>
      </c>
      <c r="T30" s="5"/>
      <c r="U30" s="5">
        <v>1456</v>
      </c>
      <c r="V30" s="5">
        <v>395</v>
      </c>
      <c r="W30" s="5" t="s">
        <v>65</v>
      </c>
      <c r="X30" s="5"/>
      <c r="Y30" s="5" t="s">
        <v>44</v>
      </c>
      <c r="Z30" s="5" t="s">
        <v>45</v>
      </c>
      <c r="AA30" s="5"/>
      <c r="AB30" s="5">
        <v>9</v>
      </c>
      <c r="AC30" s="5" t="s">
        <v>46</v>
      </c>
      <c r="AD30" s="5">
        <v>2481.87</v>
      </c>
      <c r="AE30" s="29"/>
      <c r="AF30" s="36">
        <v>7514.9208000000008</v>
      </c>
      <c r="AG30" s="37">
        <v>4508.9524799999999</v>
      </c>
      <c r="AH30" s="67">
        <v>30</v>
      </c>
    </row>
    <row r="31" spans="1:34" x14ac:dyDescent="0.4">
      <c r="A31" s="27" t="s">
        <v>34</v>
      </c>
      <c r="B31" s="5" t="s">
        <v>35</v>
      </c>
      <c r="C31" s="5" t="s">
        <v>100</v>
      </c>
      <c r="D31" s="5"/>
      <c r="E31" s="5"/>
      <c r="F31" s="5" t="s">
        <v>81</v>
      </c>
      <c r="G31" s="5">
        <v>26013247</v>
      </c>
      <c r="H31" s="35">
        <v>46162</v>
      </c>
      <c r="I31" s="32" t="s">
        <v>39</v>
      </c>
      <c r="J31" s="34">
        <v>11830.08</v>
      </c>
      <c r="K31" s="5">
        <v>90</v>
      </c>
      <c r="L31" s="35">
        <v>46252</v>
      </c>
      <c r="M31" s="5">
        <v>3172</v>
      </c>
      <c r="N31" s="35" t="s">
        <v>169</v>
      </c>
      <c r="O31" s="35">
        <v>46184</v>
      </c>
      <c r="P31" s="35">
        <v>46224</v>
      </c>
      <c r="Q31" s="35"/>
      <c r="R31" s="5"/>
      <c r="S31" s="5" t="s">
        <v>170</v>
      </c>
      <c r="T31" s="5"/>
      <c r="U31" s="5">
        <v>1456</v>
      </c>
      <c r="V31" s="5">
        <v>395</v>
      </c>
      <c r="W31" s="5" t="s">
        <v>65</v>
      </c>
      <c r="X31" s="5"/>
      <c r="Y31" s="5" t="s">
        <v>44</v>
      </c>
      <c r="Z31" s="5" t="s">
        <v>45</v>
      </c>
      <c r="AA31" s="5"/>
      <c r="AB31" s="5">
        <v>9</v>
      </c>
      <c r="AC31" s="5" t="s">
        <v>46</v>
      </c>
      <c r="AD31" s="5">
        <v>2481.87</v>
      </c>
      <c r="AE31" s="29"/>
      <c r="AF31" s="36">
        <v>13734.722880000001</v>
      </c>
      <c r="AG31" s="37">
        <v>8240.8337279999996</v>
      </c>
      <c r="AH31" s="67">
        <v>30</v>
      </c>
    </row>
    <row r="32" spans="1:34" x14ac:dyDescent="0.4">
      <c r="A32" s="27" t="s">
        <v>55</v>
      </c>
      <c r="B32" s="5" t="s">
        <v>87</v>
      </c>
      <c r="C32" s="5" t="s">
        <v>88</v>
      </c>
      <c r="D32" s="5"/>
      <c r="E32" s="5" t="s">
        <v>171</v>
      </c>
      <c r="F32" s="5" t="s">
        <v>81</v>
      </c>
      <c r="G32" s="5"/>
      <c r="H32" s="35"/>
      <c r="I32" s="5" t="s">
        <v>39</v>
      </c>
      <c r="J32" s="56">
        <v>74184</v>
      </c>
      <c r="K32" s="5" t="s">
        <v>91</v>
      </c>
      <c r="L32" s="35">
        <v>46184</v>
      </c>
      <c r="M32" s="5"/>
      <c r="N32" s="35">
        <v>46174</v>
      </c>
      <c r="O32" s="35"/>
      <c r="P32" s="35">
        <v>46224</v>
      </c>
      <c r="Q32" s="35"/>
      <c r="R32" s="5"/>
      <c r="S32" s="5" t="s">
        <v>172</v>
      </c>
      <c r="T32" s="5"/>
      <c r="U32" s="5"/>
      <c r="V32" s="5"/>
      <c r="W32" s="5" t="s">
        <v>78</v>
      </c>
      <c r="X32" s="5"/>
      <c r="Y32" s="5" t="s">
        <v>44</v>
      </c>
      <c r="Z32" s="5"/>
      <c r="AA32" s="5"/>
      <c r="AB32" s="5"/>
      <c r="AC32" s="5"/>
      <c r="AD32" s="5"/>
      <c r="AE32" s="5"/>
      <c r="AF32" s="36">
        <v>86127.623999999996</v>
      </c>
      <c r="AG32" s="37">
        <v>51676.574399999998</v>
      </c>
      <c r="AH32" s="67">
        <v>30</v>
      </c>
    </row>
    <row r="33" spans="1:34" x14ac:dyDescent="0.4">
      <c r="A33" s="27" t="s">
        <v>55</v>
      </c>
      <c r="B33" s="5" t="s">
        <v>173</v>
      </c>
      <c r="C33" s="31" t="s">
        <v>174</v>
      </c>
      <c r="D33" s="5"/>
      <c r="E33" s="5">
        <v>26988</v>
      </c>
      <c r="F33" s="5"/>
      <c r="G33" s="5" t="s">
        <v>175</v>
      </c>
      <c r="H33" s="35"/>
      <c r="I33" s="59" t="s">
        <v>39</v>
      </c>
      <c r="J33" s="56">
        <v>11856.6</v>
      </c>
      <c r="K33" s="5" t="s">
        <v>176</v>
      </c>
      <c r="L33" s="35">
        <v>46186</v>
      </c>
      <c r="M33" s="5">
        <v>3179</v>
      </c>
      <c r="N33" s="35">
        <v>46176</v>
      </c>
      <c r="O33" s="35">
        <v>46199</v>
      </c>
      <c r="P33" s="35">
        <v>46236</v>
      </c>
      <c r="Q33" s="35"/>
      <c r="R33" s="5"/>
      <c r="S33" s="5"/>
      <c r="T33" s="5"/>
      <c r="U33" s="5">
        <v>120</v>
      </c>
      <c r="V33" s="5">
        <v>587</v>
      </c>
      <c r="W33" s="5" t="s">
        <v>119</v>
      </c>
      <c r="X33" s="5"/>
      <c r="Y33" s="5" t="s">
        <v>44</v>
      </c>
      <c r="Z33" s="5" t="s">
        <v>85</v>
      </c>
      <c r="AA33" s="5"/>
      <c r="AB33" s="5">
        <v>1</v>
      </c>
      <c r="AC33" s="5" t="s">
        <v>138</v>
      </c>
      <c r="AD33" s="5">
        <v>200</v>
      </c>
      <c r="AE33" s="5"/>
      <c r="AF33" s="36">
        <v>13765.5126</v>
      </c>
      <c r="AG33" s="37">
        <v>8259.3075599999993</v>
      </c>
      <c r="AH33" s="67">
        <v>32</v>
      </c>
    </row>
    <row r="34" spans="1:34" x14ac:dyDescent="0.4">
      <c r="A34" s="27" t="s">
        <v>55</v>
      </c>
      <c r="B34" s="5" t="s">
        <v>177</v>
      </c>
      <c r="C34" s="60" t="s">
        <v>100</v>
      </c>
      <c r="D34" s="29">
        <v>46063</v>
      </c>
      <c r="E34" s="27">
        <v>38435</v>
      </c>
      <c r="F34" s="1" t="s">
        <v>58</v>
      </c>
      <c r="G34" s="32" t="s">
        <v>115</v>
      </c>
      <c r="H34" s="33"/>
      <c r="I34" s="32" t="s">
        <v>39</v>
      </c>
      <c r="J34" s="34">
        <v>22142.7</v>
      </c>
      <c r="K34" s="5" t="s">
        <v>102</v>
      </c>
      <c r="L34" s="33" t="s">
        <v>178</v>
      </c>
      <c r="M34" s="60">
        <v>3163</v>
      </c>
      <c r="N34" s="33">
        <v>46137</v>
      </c>
      <c r="O34" s="61">
        <v>46193</v>
      </c>
      <c r="P34" s="35">
        <v>46228</v>
      </c>
      <c r="Q34" s="33"/>
      <c r="R34" s="29"/>
      <c r="S34" s="5" t="s">
        <v>179</v>
      </c>
      <c r="T34" s="5"/>
      <c r="U34" s="5">
        <v>599</v>
      </c>
      <c r="V34" s="5">
        <v>519</v>
      </c>
      <c r="W34" s="27" t="s">
        <v>119</v>
      </c>
      <c r="X34" s="27" t="s">
        <v>180</v>
      </c>
      <c r="Y34" s="27" t="s">
        <v>44</v>
      </c>
      <c r="Z34" s="1" t="s">
        <v>85</v>
      </c>
      <c r="AA34" s="27"/>
      <c r="AB34" s="27">
        <v>8</v>
      </c>
      <c r="AC34" s="1" t="s">
        <v>138</v>
      </c>
      <c r="AD34" s="27">
        <v>4200</v>
      </c>
      <c r="AE34" s="29"/>
      <c r="AF34" s="36">
        <v>25707.674700000003</v>
      </c>
      <c r="AG34" s="37">
        <v>15424.60482</v>
      </c>
      <c r="AH34" s="67">
        <v>30</v>
      </c>
    </row>
    <row r="35" spans="1:34" x14ac:dyDescent="0.4">
      <c r="A35" s="27" t="s">
        <v>34</v>
      </c>
      <c r="B35" s="5" t="s">
        <v>181</v>
      </c>
      <c r="C35" s="5" t="s">
        <v>57</v>
      </c>
      <c r="D35" s="5"/>
      <c r="E35" s="5">
        <v>26987</v>
      </c>
      <c r="F35" s="1" t="s">
        <v>37</v>
      </c>
      <c r="G35" s="5">
        <v>2513200212</v>
      </c>
      <c r="H35" s="35">
        <v>46081</v>
      </c>
      <c r="I35" s="32" t="s">
        <v>60</v>
      </c>
      <c r="J35" s="56">
        <v>5280</v>
      </c>
      <c r="K35" s="5" t="s">
        <v>182</v>
      </c>
      <c r="L35" s="35"/>
      <c r="M35" s="5">
        <v>3168</v>
      </c>
      <c r="N35" s="35">
        <v>46143</v>
      </c>
      <c r="O35" s="35">
        <v>46163</v>
      </c>
      <c r="P35" s="35">
        <v>46228</v>
      </c>
      <c r="Q35" s="35"/>
      <c r="R35" s="5"/>
      <c r="S35" s="5" t="s">
        <v>183</v>
      </c>
      <c r="T35" s="5"/>
      <c r="U35" s="5"/>
      <c r="V35" s="5"/>
      <c r="W35" s="5" t="s">
        <v>65</v>
      </c>
      <c r="X35" s="5" t="s">
        <v>184</v>
      </c>
      <c r="Y35" s="5" t="s">
        <v>44</v>
      </c>
      <c r="Z35" s="27" t="s">
        <v>85</v>
      </c>
      <c r="AA35" s="5"/>
      <c r="AB35" s="5">
        <v>75</v>
      </c>
      <c r="AC35" s="27" t="s">
        <v>67</v>
      </c>
      <c r="AD35" s="5">
        <v>945.5</v>
      </c>
      <c r="AE35" s="5"/>
      <c r="AF35" s="36">
        <v>5280</v>
      </c>
      <c r="AG35" s="37">
        <v>3168</v>
      </c>
      <c r="AH35" s="67">
        <v>30</v>
      </c>
    </row>
    <row r="36" spans="1:34" x14ac:dyDescent="0.4">
      <c r="A36" s="27" t="s">
        <v>34</v>
      </c>
      <c r="B36" s="5" t="s">
        <v>181</v>
      </c>
      <c r="C36" s="5" t="s">
        <v>57</v>
      </c>
      <c r="D36" s="5"/>
      <c r="E36" s="5">
        <v>26987</v>
      </c>
      <c r="F36" s="1" t="s">
        <v>37</v>
      </c>
      <c r="G36" s="5">
        <v>2512201066</v>
      </c>
      <c r="H36" s="35">
        <v>46081</v>
      </c>
      <c r="I36" s="32" t="s">
        <v>60</v>
      </c>
      <c r="J36" s="56">
        <v>2760</v>
      </c>
      <c r="K36" s="5" t="s">
        <v>182</v>
      </c>
      <c r="L36" s="35"/>
      <c r="M36" s="5">
        <v>3168</v>
      </c>
      <c r="N36" s="35">
        <v>46143</v>
      </c>
      <c r="O36" s="35">
        <v>46163</v>
      </c>
      <c r="P36" s="35">
        <v>46228</v>
      </c>
      <c r="Q36" s="35"/>
      <c r="R36" s="5"/>
      <c r="S36" s="5" t="s">
        <v>183</v>
      </c>
      <c r="T36" s="5"/>
      <c r="U36" s="5"/>
      <c r="V36" s="5"/>
      <c r="W36" s="5" t="s">
        <v>65</v>
      </c>
      <c r="X36" s="5" t="s">
        <v>184</v>
      </c>
      <c r="Y36" s="5" t="s">
        <v>44</v>
      </c>
      <c r="Z36" s="27" t="s">
        <v>85</v>
      </c>
      <c r="AA36" s="5"/>
      <c r="AB36" s="5">
        <v>20</v>
      </c>
      <c r="AC36" s="27" t="s">
        <v>185</v>
      </c>
      <c r="AD36" s="5">
        <v>80.62</v>
      </c>
      <c r="AE36" s="5"/>
      <c r="AF36" s="36">
        <v>2760</v>
      </c>
      <c r="AG36" s="37">
        <v>1656</v>
      </c>
      <c r="AH36" s="67">
        <v>30</v>
      </c>
    </row>
    <row r="37" spans="1:34" x14ac:dyDescent="0.4">
      <c r="A37" s="27" t="s">
        <v>34</v>
      </c>
      <c r="B37" s="5" t="s">
        <v>181</v>
      </c>
      <c r="C37" s="5" t="s">
        <v>57</v>
      </c>
      <c r="D37" s="5"/>
      <c r="E37" s="5">
        <v>26987</v>
      </c>
      <c r="F37" s="1" t="s">
        <v>37</v>
      </c>
      <c r="G37" s="5">
        <v>2511201504</v>
      </c>
      <c r="H37" s="35">
        <v>46081</v>
      </c>
      <c r="I37" s="32" t="s">
        <v>60</v>
      </c>
      <c r="J37" s="56">
        <v>90</v>
      </c>
      <c r="K37" s="5" t="s">
        <v>182</v>
      </c>
      <c r="L37" s="35"/>
      <c r="M37" s="5">
        <v>3168</v>
      </c>
      <c r="N37" s="35">
        <v>46143</v>
      </c>
      <c r="O37" s="35">
        <v>46163</v>
      </c>
      <c r="P37" s="35">
        <v>46228</v>
      </c>
      <c r="Q37" s="35"/>
      <c r="R37" s="5"/>
      <c r="S37" s="5" t="s">
        <v>183</v>
      </c>
      <c r="T37" s="5"/>
      <c r="U37" s="5"/>
      <c r="V37" s="5"/>
      <c r="W37" s="5" t="s">
        <v>65</v>
      </c>
      <c r="X37" s="5" t="s">
        <v>184</v>
      </c>
      <c r="Y37" s="5" t="s">
        <v>44</v>
      </c>
      <c r="Z37" s="27" t="s">
        <v>85</v>
      </c>
      <c r="AA37" s="5"/>
      <c r="AB37" s="5">
        <v>1</v>
      </c>
      <c r="AC37" s="27" t="s">
        <v>185</v>
      </c>
      <c r="AD37" s="5">
        <v>12.6</v>
      </c>
      <c r="AE37" s="5"/>
      <c r="AF37" s="36">
        <v>90</v>
      </c>
      <c r="AG37" s="37">
        <v>54</v>
      </c>
      <c r="AH37" s="67">
        <v>30</v>
      </c>
    </row>
    <row r="38" spans="1:34" x14ac:dyDescent="0.4">
      <c r="A38" s="27" t="s">
        <v>34</v>
      </c>
      <c r="B38" s="5" t="s">
        <v>181</v>
      </c>
      <c r="C38" s="5" t="s">
        <v>57</v>
      </c>
      <c r="D38" s="5"/>
      <c r="E38" s="5">
        <v>26987</v>
      </c>
      <c r="F38" s="1" t="s">
        <v>37</v>
      </c>
      <c r="G38" s="5">
        <v>2511201438</v>
      </c>
      <c r="H38" s="35">
        <v>46081</v>
      </c>
      <c r="I38" s="32" t="s">
        <v>60</v>
      </c>
      <c r="J38" s="56">
        <v>8428.2000000000007</v>
      </c>
      <c r="K38" s="5" t="s">
        <v>182</v>
      </c>
      <c r="L38" s="35"/>
      <c r="M38" s="5">
        <v>3168</v>
      </c>
      <c r="N38" s="35">
        <v>46143</v>
      </c>
      <c r="O38" s="35">
        <v>46163</v>
      </c>
      <c r="P38" s="35">
        <v>46228</v>
      </c>
      <c r="Q38" s="35"/>
      <c r="R38" s="5"/>
      <c r="S38" s="5" t="s">
        <v>183</v>
      </c>
      <c r="T38" s="5"/>
      <c r="U38" s="5"/>
      <c r="V38" s="5"/>
      <c r="W38" s="5" t="s">
        <v>65</v>
      </c>
      <c r="X38" s="5" t="s">
        <v>184</v>
      </c>
      <c r="Y38" s="5" t="s">
        <v>44</v>
      </c>
      <c r="Z38" s="27" t="s">
        <v>85</v>
      </c>
      <c r="AA38" s="5"/>
      <c r="AB38" s="5">
        <v>112</v>
      </c>
      <c r="AC38" s="27" t="s">
        <v>185</v>
      </c>
      <c r="AD38" s="5">
        <v>1583.46</v>
      </c>
      <c r="AE38" s="5"/>
      <c r="AF38" s="36">
        <v>8428.2000000000007</v>
      </c>
      <c r="AG38" s="37">
        <v>5056.92</v>
      </c>
      <c r="AH38" s="67">
        <v>30</v>
      </c>
    </row>
    <row r="39" spans="1:34" x14ac:dyDescent="0.4">
      <c r="A39" s="27" t="s">
        <v>34</v>
      </c>
      <c r="B39" s="5" t="s">
        <v>181</v>
      </c>
      <c r="C39" s="5" t="s">
        <v>57</v>
      </c>
      <c r="D39" s="5"/>
      <c r="E39" s="5">
        <v>26987</v>
      </c>
      <c r="F39" s="1" t="s">
        <v>37</v>
      </c>
      <c r="G39" s="5">
        <v>2513200249</v>
      </c>
      <c r="H39" s="35">
        <v>46112</v>
      </c>
      <c r="I39" s="32" t="s">
        <v>186</v>
      </c>
      <c r="J39" s="56">
        <v>3600</v>
      </c>
      <c r="K39" s="5" t="s">
        <v>182</v>
      </c>
      <c r="L39" s="35"/>
      <c r="M39" s="5">
        <v>3168</v>
      </c>
      <c r="N39" s="35">
        <v>46143</v>
      </c>
      <c r="O39" s="35">
        <v>46163</v>
      </c>
      <c r="P39" s="35">
        <v>46228</v>
      </c>
      <c r="Q39" s="35"/>
      <c r="R39" s="5"/>
      <c r="S39" s="5" t="s">
        <v>183</v>
      </c>
      <c r="T39" s="5"/>
      <c r="U39" s="5"/>
      <c r="V39" s="5"/>
      <c r="W39" s="5" t="s">
        <v>65</v>
      </c>
      <c r="X39" s="5" t="s">
        <v>184</v>
      </c>
      <c r="Y39" s="5" t="s">
        <v>44</v>
      </c>
      <c r="Z39" s="27" t="s">
        <v>85</v>
      </c>
      <c r="AA39" s="5"/>
      <c r="AB39" s="5">
        <v>40</v>
      </c>
      <c r="AC39" s="27" t="s">
        <v>185</v>
      </c>
      <c r="AD39" s="5" t="s">
        <v>187</v>
      </c>
      <c r="AE39" s="5"/>
      <c r="AF39" s="36">
        <v>3600</v>
      </c>
      <c r="AG39" s="37">
        <v>2160</v>
      </c>
      <c r="AH39" s="67">
        <v>30</v>
      </c>
    </row>
    <row r="40" spans="1:34" x14ac:dyDescent="0.4">
      <c r="A40" s="27" t="s">
        <v>188</v>
      </c>
      <c r="B40" s="5" t="s">
        <v>35</v>
      </c>
      <c r="C40" s="5" t="s">
        <v>100</v>
      </c>
      <c r="D40" s="5"/>
      <c r="E40" s="5"/>
      <c r="F40" s="5" t="s">
        <v>81</v>
      </c>
      <c r="G40" s="5">
        <v>26015320</v>
      </c>
      <c r="H40" s="35">
        <v>46183</v>
      </c>
      <c r="I40" s="5" t="s">
        <v>39</v>
      </c>
      <c r="J40" s="34">
        <v>28411.98</v>
      </c>
      <c r="K40" s="5">
        <v>90</v>
      </c>
      <c r="L40" s="35">
        <v>46273</v>
      </c>
      <c r="M40" s="28">
        <v>3186</v>
      </c>
      <c r="N40" s="33" t="s">
        <v>189</v>
      </c>
      <c r="O40" s="35">
        <v>46193</v>
      </c>
      <c r="P40" s="35">
        <v>46228</v>
      </c>
      <c r="Q40" s="33"/>
      <c r="R40" s="29"/>
      <c r="S40" s="5" t="s">
        <v>190</v>
      </c>
      <c r="T40" s="39"/>
      <c r="U40" s="5"/>
      <c r="V40" s="5"/>
      <c r="W40" s="27" t="s">
        <v>119</v>
      </c>
      <c r="X40" s="27" t="s">
        <v>191</v>
      </c>
      <c r="Y40" s="27" t="s">
        <v>44</v>
      </c>
      <c r="Z40" s="27" t="s">
        <v>45</v>
      </c>
      <c r="AA40" s="27"/>
      <c r="AB40" s="27">
        <v>8</v>
      </c>
      <c r="AC40" s="27" t="s">
        <v>46</v>
      </c>
      <c r="AD40" s="27">
        <v>2597</v>
      </c>
      <c r="AE40" s="29"/>
      <c r="AF40" s="36">
        <v>32986.308779999999</v>
      </c>
      <c r="AG40" s="37">
        <v>21441.100707000001</v>
      </c>
      <c r="AH40" s="67">
        <v>30</v>
      </c>
    </row>
    <row r="41" spans="1:34" x14ac:dyDescent="0.4">
      <c r="A41" s="27" t="s">
        <v>34</v>
      </c>
      <c r="B41" s="5" t="s">
        <v>192</v>
      </c>
      <c r="C41" s="5" t="s">
        <v>193</v>
      </c>
      <c r="D41" s="5"/>
      <c r="E41" s="5" t="s">
        <v>194</v>
      </c>
      <c r="F41" s="5" t="s">
        <v>58</v>
      </c>
      <c r="G41" s="5" t="s">
        <v>195</v>
      </c>
      <c r="H41" s="35"/>
      <c r="I41" s="5" t="s">
        <v>60</v>
      </c>
      <c r="J41" s="56">
        <v>20547.52</v>
      </c>
      <c r="K41" s="5" t="s">
        <v>196</v>
      </c>
      <c r="L41" s="35">
        <v>46150</v>
      </c>
      <c r="M41" s="5">
        <v>3158</v>
      </c>
      <c r="N41" s="35">
        <v>46171</v>
      </c>
      <c r="O41" s="35"/>
      <c r="P41" s="35">
        <v>46231</v>
      </c>
      <c r="Q41" s="35"/>
      <c r="R41" s="5"/>
      <c r="S41" s="5" t="s">
        <v>197</v>
      </c>
      <c r="T41" s="5"/>
      <c r="U41" s="5"/>
      <c r="V41" s="5"/>
      <c r="W41" s="5" t="s">
        <v>65</v>
      </c>
      <c r="X41" s="5" t="s">
        <v>198</v>
      </c>
      <c r="Y41" s="5" t="s">
        <v>44</v>
      </c>
      <c r="Z41" s="5" t="s">
        <v>85</v>
      </c>
      <c r="AA41" s="5"/>
      <c r="AB41" s="5">
        <v>681</v>
      </c>
      <c r="AC41" s="5" t="s">
        <v>185</v>
      </c>
      <c r="AD41" s="5">
        <v>5678</v>
      </c>
      <c r="AE41" s="5"/>
      <c r="AF41" s="36">
        <v>20547.52</v>
      </c>
      <c r="AG41" s="37">
        <v>12328.512000000001</v>
      </c>
      <c r="AH41" s="67">
        <v>31</v>
      </c>
    </row>
    <row r="42" spans="1:34" x14ac:dyDescent="0.4">
      <c r="A42" s="27" t="s">
        <v>55</v>
      </c>
      <c r="B42" s="5" t="s">
        <v>199</v>
      </c>
      <c r="C42" s="2" t="s">
        <v>50</v>
      </c>
      <c r="D42" s="29"/>
      <c r="E42" s="27"/>
      <c r="F42" s="31" t="s">
        <v>58</v>
      </c>
      <c r="G42" s="32"/>
      <c r="H42" s="33"/>
      <c r="I42" s="32" t="s">
        <v>39</v>
      </c>
      <c r="J42" s="34">
        <v>500</v>
      </c>
      <c r="K42" s="5" t="s">
        <v>200</v>
      </c>
      <c r="L42" s="35"/>
      <c r="M42" s="5"/>
      <c r="N42" s="35"/>
      <c r="O42" s="35"/>
      <c r="P42" s="35">
        <v>46233</v>
      </c>
      <c r="Q42" s="35"/>
      <c r="R42" s="5"/>
      <c r="S42" s="5" t="s">
        <v>201</v>
      </c>
      <c r="T42" s="5"/>
      <c r="U42" s="5"/>
      <c r="V42" s="5"/>
      <c r="W42" s="5" t="s">
        <v>78</v>
      </c>
      <c r="X42" s="5"/>
      <c r="Y42" s="5" t="s">
        <v>44</v>
      </c>
      <c r="Z42" s="5" t="s">
        <v>98</v>
      </c>
      <c r="AA42" s="5"/>
      <c r="AB42" s="5"/>
      <c r="AC42" s="5"/>
      <c r="AD42" s="5"/>
      <c r="AE42" s="5"/>
      <c r="AF42" s="36">
        <v>580.5</v>
      </c>
      <c r="AG42" s="37">
        <v>348.3</v>
      </c>
      <c r="AH42" s="67">
        <v>31</v>
      </c>
    </row>
    <row r="43" spans="1:34" x14ac:dyDescent="0.4">
      <c r="A43" s="27" t="s">
        <v>55</v>
      </c>
      <c r="B43" s="5" t="s">
        <v>202</v>
      </c>
      <c r="C43" s="31" t="s">
        <v>50</v>
      </c>
      <c r="D43" s="29"/>
      <c r="E43" s="27">
        <v>25905</v>
      </c>
      <c r="F43" s="31" t="s">
        <v>58</v>
      </c>
      <c r="G43" s="32"/>
      <c r="H43" s="33"/>
      <c r="I43" s="32" t="s">
        <v>39</v>
      </c>
      <c r="J43" s="34">
        <v>3213.6000000000004</v>
      </c>
      <c r="K43" s="5" t="s">
        <v>200</v>
      </c>
      <c r="L43" s="35"/>
      <c r="M43" s="57">
        <v>3189</v>
      </c>
      <c r="N43" s="35">
        <v>45796</v>
      </c>
      <c r="O43" s="35">
        <v>46189</v>
      </c>
      <c r="P43" s="35">
        <v>46219</v>
      </c>
      <c r="Q43" s="35"/>
      <c r="R43" s="5"/>
      <c r="S43" s="5" t="s">
        <v>201</v>
      </c>
      <c r="T43" s="5"/>
      <c r="U43" s="5"/>
      <c r="V43" s="5"/>
      <c r="W43" s="27" t="s">
        <v>65</v>
      </c>
      <c r="X43" s="27" t="s">
        <v>151</v>
      </c>
      <c r="Y43" s="27" t="s">
        <v>44</v>
      </c>
      <c r="Z43" s="27" t="s">
        <v>152</v>
      </c>
      <c r="AA43" s="5"/>
      <c r="AB43" s="5">
        <v>1</v>
      </c>
      <c r="AC43" s="27" t="s">
        <v>27</v>
      </c>
      <c r="AD43" s="27">
        <v>4100</v>
      </c>
      <c r="AE43" s="5"/>
      <c r="AF43" s="36">
        <v>3730.9896000000003</v>
      </c>
      <c r="AG43" s="37">
        <v>2238.5937600000002</v>
      </c>
      <c r="AH43" s="67">
        <v>29</v>
      </c>
    </row>
    <row r="44" spans="1:34" x14ac:dyDescent="0.4">
      <c r="A44" s="27" t="s">
        <v>55</v>
      </c>
      <c r="B44" s="5" t="s">
        <v>203</v>
      </c>
      <c r="C44" s="2" t="s">
        <v>50</v>
      </c>
      <c r="D44" s="29"/>
      <c r="E44" s="27">
        <v>25849</v>
      </c>
      <c r="F44" s="31" t="s">
        <v>58</v>
      </c>
      <c r="G44" s="32"/>
      <c r="H44" s="33"/>
      <c r="I44" s="32" t="s">
        <v>39</v>
      </c>
      <c r="J44" s="34">
        <v>500</v>
      </c>
      <c r="K44" s="5" t="s">
        <v>200</v>
      </c>
      <c r="L44" s="35"/>
      <c r="M44" s="5"/>
      <c r="N44" s="35"/>
      <c r="O44" s="35"/>
      <c r="P44" s="35">
        <v>46233</v>
      </c>
      <c r="Q44" s="35"/>
      <c r="R44" s="5"/>
      <c r="S44" s="5" t="s">
        <v>204</v>
      </c>
      <c r="T44" s="5"/>
      <c r="U44" s="5"/>
      <c r="V44" s="5"/>
      <c r="W44" s="5" t="s">
        <v>78</v>
      </c>
      <c r="X44" s="5"/>
      <c r="Y44" s="5" t="s">
        <v>44</v>
      </c>
      <c r="Z44" s="5" t="s">
        <v>152</v>
      </c>
      <c r="AA44" s="5"/>
      <c r="AB44" s="5"/>
      <c r="AC44" s="5"/>
      <c r="AD44" s="5"/>
      <c r="AE44" s="5"/>
      <c r="AF44" s="36">
        <v>580.5</v>
      </c>
      <c r="AG44" s="37">
        <v>348.3</v>
      </c>
      <c r="AH44" s="67">
        <v>31</v>
      </c>
    </row>
    <row r="45" spans="1:34" x14ac:dyDescent="0.4">
      <c r="A45" s="27" t="s">
        <v>55</v>
      </c>
      <c r="B45" s="5" t="s">
        <v>205</v>
      </c>
      <c r="C45" s="28"/>
      <c r="D45" s="29"/>
      <c r="E45" s="27">
        <v>26319</v>
      </c>
      <c r="F45" s="31"/>
      <c r="G45" s="32"/>
      <c r="H45" s="33"/>
      <c r="I45" s="32" t="s">
        <v>39</v>
      </c>
      <c r="J45" s="34">
        <v>500</v>
      </c>
      <c r="K45" s="5" t="s">
        <v>200</v>
      </c>
      <c r="L45" s="35"/>
      <c r="M45" s="5"/>
      <c r="N45" s="35"/>
      <c r="O45" s="35"/>
      <c r="P45" s="35">
        <v>46233</v>
      </c>
      <c r="Q45" s="35"/>
      <c r="R45" s="5"/>
      <c r="S45" s="5"/>
      <c r="T45" s="5"/>
      <c r="U45" s="5"/>
      <c r="V45" s="5"/>
      <c r="W45" s="5" t="s">
        <v>78</v>
      </c>
      <c r="X45" s="5"/>
      <c r="Y45" s="5" t="s">
        <v>44</v>
      </c>
      <c r="Z45" s="5"/>
      <c r="AA45" s="5"/>
      <c r="AB45" s="5"/>
      <c r="AC45" s="5"/>
      <c r="AD45" s="5"/>
      <c r="AE45" s="5"/>
      <c r="AF45" s="36">
        <v>580.5</v>
      </c>
      <c r="AG45" s="37">
        <v>348.3</v>
      </c>
      <c r="AH45" s="67">
        <v>31</v>
      </c>
    </row>
    <row r="46" spans="1:34" x14ac:dyDescent="0.4">
      <c r="A46" s="27" t="s">
        <v>55</v>
      </c>
      <c r="B46" s="5" t="s">
        <v>206</v>
      </c>
      <c r="C46" s="2" t="s">
        <v>50</v>
      </c>
      <c r="D46" s="29"/>
      <c r="E46" s="27" t="s">
        <v>207</v>
      </c>
      <c r="F46" s="31" t="s">
        <v>58</v>
      </c>
      <c r="G46" s="32"/>
      <c r="H46" s="33"/>
      <c r="I46" s="32" t="s">
        <v>39</v>
      </c>
      <c r="J46" s="34">
        <v>5260</v>
      </c>
      <c r="K46" s="5" t="s">
        <v>200</v>
      </c>
      <c r="L46" s="35"/>
      <c r="M46" s="5"/>
      <c r="N46" s="35"/>
      <c r="O46" s="35"/>
      <c r="P46" s="35">
        <v>46233</v>
      </c>
      <c r="Q46" s="35"/>
      <c r="R46" s="5"/>
      <c r="S46" s="5"/>
      <c r="T46" s="5"/>
      <c r="U46" s="5"/>
      <c r="V46" s="5"/>
      <c r="W46" s="5" t="s">
        <v>78</v>
      </c>
      <c r="X46" s="5"/>
      <c r="Y46" s="5" t="s">
        <v>44</v>
      </c>
      <c r="Z46" s="5"/>
      <c r="AA46" s="5"/>
      <c r="AB46" s="5"/>
      <c r="AC46" s="5"/>
      <c r="AD46" s="5"/>
      <c r="AE46" s="5"/>
      <c r="AF46" s="36">
        <v>6106.8600000000006</v>
      </c>
      <c r="AG46" s="37">
        <v>3664.1160000000004</v>
      </c>
      <c r="AH46" s="67">
        <v>31</v>
      </c>
    </row>
    <row r="47" spans="1:34" x14ac:dyDescent="0.4">
      <c r="A47" s="27" t="s">
        <v>55</v>
      </c>
      <c r="B47" s="5" t="s">
        <v>208</v>
      </c>
      <c r="C47" s="2" t="s">
        <v>50</v>
      </c>
      <c r="D47" s="29"/>
      <c r="E47" s="27"/>
      <c r="F47" s="31"/>
      <c r="G47" s="32"/>
      <c r="H47" s="33"/>
      <c r="I47" s="32"/>
      <c r="J47" s="34"/>
      <c r="K47" s="5" t="s">
        <v>200</v>
      </c>
      <c r="L47" s="35"/>
      <c r="M47" s="5"/>
      <c r="N47" s="35">
        <v>46143</v>
      </c>
      <c r="O47" s="35"/>
      <c r="P47" s="35">
        <v>46233</v>
      </c>
      <c r="Q47" s="35"/>
      <c r="R47" s="5"/>
      <c r="S47" s="5" t="s">
        <v>209</v>
      </c>
      <c r="T47" s="5"/>
      <c r="U47" s="5"/>
      <c r="V47" s="5"/>
      <c r="W47" s="5" t="s">
        <v>78</v>
      </c>
      <c r="X47" s="5"/>
      <c r="Y47" s="5" t="s">
        <v>44</v>
      </c>
      <c r="Z47" s="5"/>
      <c r="AA47" s="5"/>
      <c r="AB47" s="5"/>
      <c r="AC47" s="5"/>
      <c r="AD47" s="5"/>
      <c r="AE47" s="5"/>
      <c r="AF47" s="36">
        <v>0</v>
      </c>
      <c r="AG47" s="37">
        <v>0</v>
      </c>
      <c r="AH47" s="67">
        <v>31</v>
      </c>
    </row>
    <row r="48" spans="1:34" x14ac:dyDescent="0.4">
      <c r="A48" s="27" t="s">
        <v>55</v>
      </c>
      <c r="B48" s="5" t="s">
        <v>99</v>
      </c>
      <c r="C48" s="28" t="s">
        <v>100</v>
      </c>
      <c r="D48" s="29"/>
      <c r="E48" s="27">
        <v>37257</v>
      </c>
      <c r="F48" s="1" t="s">
        <v>58</v>
      </c>
      <c r="G48" s="32" t="s">
        <v>210</v>
      </c>
      <c r="H48" s="33">
        <v>46087</v>
      </c>
      <c r="I48" s="32" t="s">
        <v>39</v>
      </c>
      <c r="J48" s="34">
        <v>33876</v>
      </c>
      <c r="K48" s="5" t="s">
        <v>102</v>
      </c>
      <c r="L48" s="33" t="s">
        <v>211</v>
      </c>
      <c r="M48" s="28">
        <v>3153</v>
      </c>
      <c r="N48" s="33">
        <v>46105</v>
      </c>
      <c r="O48" s="35">
        <v>46113</v>
      </c>
      <c r="P48" s="35">
        <v>46233</v>
      </c>
      <c r="Q48" s="33"/>
      <c r="R48" s="29"/>
      <c r="S48" s="5" t="s">
        <v>212</v>
      </c>
      <c r="T48" s="39"/>
      <c r="U48" s="5"/>
      <c r="V48" s="5"/>
      <c r="W48" s="27" t="s">
        <v>95</v>
      </c>
      <c r="X48" s="27" t="s">
        <v>213</v>
      </c>
      <c r="Y48" s="27" t="s">
        <v>214</v>
      </c>
      <c r="Z48" s="27" t="s">
        <v>85</v>
      </c>
      <c r="AA48" s="27"/>
      <c r="AB48" s="27">
        <v>50</v>
      </c>
      <c r="AC48" s="27" t="s">
        <v>46</v>
      </c>
      <c r="AD48" s="27">
        <v>7200</v>
      </c>
      <c r="AE48" s="29"/>
      <c r="AF48" s="36">
        <v>39330.036</v>
      </c>
      <c r="AG48" s="37">
        <v>23598.0216</v>
      </c>
      <c r="AH48" s="67">
        <v>31</v>
      </c>
    </row>
    <row r="49" spans="1:34" ht="32.15" x14ac:dyDescent="0.4">
      <c r="A49" s="1" t="s">
        <v>86</v>
      </c>
      <c r="B49" s="1" t="s">
        <v>99</v>
      </c>
      <c r="C49" s="2" t="s">
        <v>100</v>
      </c>
      <c r="D49" s="41"/>
      <c r="E49" s="1"/>
      <c r="F49" s="2" t="s">
        <v>58</v>
      </c>
      <c r="G49" s="3" t="s">
        <v>101</v>
      </c>
      <c r="H49" s="4">
        <v>45905</v>
      </c>
      <c r="I49" s="3" t="s">
        <v>39</v>
      </c>
      <c r="J49" s="34">
        <v>-10642.28</v>
      </c>
      <c r="K49" s="1" t="s">
        <v>102</v>
      </c>
      <c r="L49" s="4" t="s">
        <v>103</v>
      </c>
      <c r="M49" s="2">
        <v>3045</v>
      </c>
      <c r="N49" s="4">
        <v>45905</v>
      </c>
      <c r="O49" s="4">
        <v>45959</v>
      </c>
      <c r="P49" s="35">
        <v>46233</v>
      </c>
      <c r="Q49" s="4" t="s">
        <v>104</v>
      </c>
      <c r="R49" s="41" t="s">
        <v>105</v>
      </c>
      <c r="S49" s="41" t="s">
        <v>106</v>
      </c>
      <c r="T49" s="44"/>
      <c r="U49" s="1"/>
      <c r="V49" s="1"/>
      <c r="W49" s="1" t="s">
        <v>95</v>
      </c>
      <c r="X49" s="1" t="s">
        <v>107</v>
      </c>
      <c r="Y49" s="1" t="s">
        <v>108</v>
      </c>
      <c r="Z49" s="1" t="s">
        <v>45</v>
      </c>
      <c r="AA49" s="1"/>
      <c r="AB49" s="1" t="s">
        <v>215</v>
      </c>
      <c r="AC49" s="1"/>
      <c r="AD49" s="1">
        <v>8524</v>
      </c>
      <c r="AE49" s="41"/>
      <c r="AF49" s="36">
        <v>-12355.687080000002</v>
      </c>
      <c r="AG49" s="37">
        <v>-7413.4122480000005</v>
      </c>
      <c r="AH49" s="67">
        <v>31</v>
      </c>
    </row>
    <row r="50" spans="1:34" x14ac:dyDescent="0.4">
      <c r="A50" s="27" t="s">
        <v>55</v>
      </c>
      <c r="B50" s="5" t="s">
        <v>216</v>
      </c>
      <c r="C50" s="28" t="s">
        <v>217</v>
      </c>
      <c r="D50" s="29"/>
      <c r="E50" s="30" t="s">
        <v>218</v>
      </c>
      <c r="F50" s="31"/>
      <c r="G50" s="32" t="s">
        <v>219</v>
      </c>
      <c r="H50" s="33"/>
      <c r="I50" s="32" t="s">
        <v>39</v>
      </c>
      <c r="J50" s="34">
        <v>4113.5</v>
      </c>
      <c r="K50" s="5"/>
      <c r="L50" s="82">
        <v>46195</v>
      </c>
      <c r="M50" s="5"/>
      <c r="N50" s="35">
        <v>46183</v>
      </c>
      <c r="O50" s="35"/>
      <c r="P50" s="35">
        <v>46233</v>
      </c>
      <c r="Q50" s="35"/>
      <c r="R50" s="5"/>
      <c r="S50" s="5" t="s">
        <v>220</v>
      </c>
      <c r="T50" s="5"/>
      <c r="U50" s="5"/>
      <c r="V50" s="5"/>
      <c r="W50" s="5" t="s">
        <v>163</v>
      </c>
      <c r="X50" s="5"/>
      <c r="Y50" s="5" t="s">
        <v>44</v>
      </c>
      <c r="Z50" s="5"/>
      <c r="AA50" s="5"/>
      <c r="AB50" s="5"/>
      <c r="AC50" s="5"/>
      <c r="AD50" s="5"/>
      <c r="AE50" s="5"/>
      <c r="AF50" s="36">
        <v>4775.7735000000002</v>
      </c>
      <c r="AG50" s="37">
        <v>2865.4641000000001</v>
      </c>
      <c r="AH50" s="67">
        <v>31</v>
      </c>
    </row>
    <row r="51" spans="1:34" x14ac:dyDescent="0.4">
      <c r="A51" s="27" t="s">
        <v>55</v>
      </c>
      <c r="B51" s="5" t="s">
        <v>221</v>
      </c>
      <c r="C51" s="5" t="s">
        <v>100</v>
      </c>
      <c r="D51" s="5"/>
      <c r="E51" s="5"/>
      <c r="F51" s="5"/>
      <c r="G51" s="5"/>
      <c r="H51" s="35"/>
      <c r="I51" s="5"/>
      <c r="J51" s="56">
        <v>1463.12</v>
      </c>
      <c r="K51" s="5" t="s">
        <v>222</v>
      </c>
      <c r="L51" s="35" t="s">
        <v>223</v>
      </c>
      <c r="M51" s="28"/>
      <c r="N51" s="33"/>
      <c r="O51" s="35"/>
      <c r="P51" s="35">
        <v>46233</v>
      </c>
      <c r="Q51" s="33"/>
      <c r="R51" s="29"/>
      <c r="S51" s="5" t="s">
        <v>224</v>
      </c>
      <c r="T51" s="39"/>
      <c r="U51" s="5"/>
      <c r="V51" s="5"/>
      <c r="W51" s="5" t="s">
        <v>163</v>
      </c>
      <c r="X51" s="27"/>
      <c r="Y51" s="27"/>
      <c r="Z51" s="27"/>
      <c r="AA51" s="27"/>
      <c r="AB51" s="27"/>
      <c r="AC51" s="27"/>
      <c r="AD51" s="27"/>
      <c r="AE51" s="29"/>
      <c r="AF51" s="36">
        <v>1698.6823199999999</v>
      </c>
      <c r="AG51" s="37">
        <v>1019.2093919999999</v>
      </c>
      <c r="AH51" s="67">
        <v>31</v>
      </c>
    </row>
    <row r="52" spans="1:34" x14ac:dyDescent="0.4">
      <c r="A52" s="27" t="s">
        <v>34</v>
      </c>
      <c r="B52" s="5" t="s">
        <v>165</v>
      </c>
      <c r="C52" s="28" t="s">
        <v>100</v>
      </c>
      <c r="D52" s="29"/>
      <c r="E52" s="27"/>
      <c r="F52" s="1" t="s">
        <v>37</v>
      </c>
      <c r="G52" s="5">
        <v>700003941</v>
      </c>
      <c r="H52" s="35">
        <v>46170</v>
      </c>
      <c r="I52" s="59" t="s">
        <v>39</v>
      </c>
      <c r="J52" s="56">
        <v>15890.9</v>
      </c>
      <c r="K52" s="5">
        <v>60</v>
      </c>
      <c r="L52" s="35">
        <v>46230</v>
      </c>
      <c r="M52" s="5">
        <v>3185</v>
      </c>
      <c r="N52" s="35" t="s">
        <v>189</v>
      </c>
      <c r="O52" s="35">
        <v>46193</v>
      </c>
      <c r="P52" s="35">
        <v>46227</v>
      </c>
      <c r="Q52" s="35"/>
      <c r="R52" s="5"/>
      <c r="S52" s="5" t="s">
        <v>225</v>
      </c>
      <c r="T52" s="5"/>
      <c r="U52" s="5"/>
      <c r="V52" s="5"/>
      <c r="W52" s="5" t="s">
        <v>119</v>
      </c>
      <c r="X52" s="5" t="s">
        <v>226</v>
      </c>
      <c r="Y52" s="27" t="s">
        <v>44</v>
      </c>
      <c r="Z52" s="5" t="s">
        <v>45</v>
      </c>
      <c r="AA52" s="5"/>
      <c r="AB52" s="5">
        <v>3</v>
      </c>
      <c r="AC52" s="5" t="s">
        <v>46</v>
      </c>
      <c r="AD52" s="5">
        <v>550</v>
      </c>
      <c r="AE52" s="5"/>
      <c r="AF52" s="36">
        <v>18449.334900000002</v>
      </c>
      <c r="AG52" s="37">
        <v>11069.60094</v>
      </c>
      <c r="AH52" s="67">
        <v>30</v>
      </c>
    </row>
    <row r="53" spans="1:34" x14ac:dyDescent="0.4">
      <c r="A53" s="27" t="s">
        <v>55</v>
      </c>
      <c r="B53" s="5" t="s">
        <v>227</v>
      </c>
      <c r="C53" s="5" t="s">
        <v>228</v>
      </c>
      <c r="D53" s="5"/>
      <c r="E53" s="5">
        <v>39130</v>
      </c>
      <c r="F53" s="1" t="s">
        <v>58</v>
      </c>
      <c r="G53" s="5"/>
      <c r="H53" s="35"/>
      <c r="I53" s="5" t="s">
        <v>229</v>
      </c>
      <c r="J53" s="5">
        <v>2308.3000000000002</v>
      </c>
      <c r="K53" s="5">
        <v>10</v>
      </c>
      <c r="L53" s="35">
        <v>46239</v>
      </c>
      <c r="M53" s="28"/>
      <c r="N53" s="33">
        <v>46229</v>
      </c>
      <c r="O53" s="35"/>
      <c r="P53" s="35">
        <v>46233</v>
      </c>
      <c r="Q53" s="33"/>
      <c r="R53" s="29"/>
      <c r="S53" s="5" t="s">
        <v>230</v>
      </c>
      <c r="T53" s="39"/>
      <c r="U53" s="5"/>
      <c r="V53" s="5"/>
      <c r="W53" s="27" t="s">
        <v>119</v>
      </c>
      <c r="X53" s="27"/>
      <c r="Y53" s="27" t="s">
        <v>53</v>
      </c>
      <c r="Z53" s="27"/>
      <c r="AA53" s="27"/>
      <c r="AB53" s="27"/>
      <c r="AC53" s="27"/>
      <c r="AD53" s="27"/>
      <c r="AE53" s="29"/>
      <c r="AF53" s="36">
        <v>2679.9363000000003</v>
      </c>
      <c r="AG53" s="37">
        <v>1741.9585950000003</v>
      </c>
      <c r="AH53" s="67">
        <v>31</v>
      </c>
    </row>
    <row r="54" spans="1:34" x14ac:dyDescent="0.4">
      <c r="A54" s="27" t="s">
        <v>34</v>
      </c>
      <c r="B54" s="5" t="s">
        <v>231</v>
      </c>
      <c r="C54" s="2" t="s">
        <v>50</v>
      </c>
      <c r="D54" s="5"/>
      <c r="E54" s="5"/>
      <c r="F54" s="1" t="s">
        <v>37</v>
      </c>
      <c r="G54" s="5">
        <v>98096802</v>
      </c>
      <c r="H54" s="35">
        <v>46182</v>
      </c>
      <c r="I54" s="59" t="s">
        <v>39</v>
      </c>
      <c r="J54" s="56">
        <v>5507.6</v>
      </c>
      <c r="K54" s="5">
        <v>120</v>
      </c>
      <c r="L54" s="35"/>
      <c r="M54" s="5"/>
      <c r="N54" s="35">
        <v>46183</v>
      </c>
      <c r="O54" s="35">
        <v>46200</v>
      </c>
      <c r="P54" s="35">
        <v>46236</v>
      </c>
      <c r="Q54" s="35"/>
      <c r="R54" s="5"/>
      <c r="S54" s="5" t="s">
        <v>232</v>
      </c>
      <c r="T54" s="5"/>
      <c r="U54" s="5">
        <v>120</v>
      </c>
      <c r="V54" s="5">
        <v>575</v>
      </c>
      <c r="W54" s="5" t="s">
        <v>119</v>
      </c>
      <c r="X54" s="5"/>
      <c r="Y54" s="5" t="s">
        <v>44</v>
      </c>
      <c r="Z54" s="5" t="s">
        <v>45</v>
      </c>
      <c r="AA54" s="5"/>
      <c r="AB54" s="5">
        <v>2</v>
      </c>
      <c r="AC54" s="5" t="s">
        <v>46</v>
      </c>
      <c r="AD54" s="5">
        <v>280</v>
      </c>
      <c r="AE54" s="5"/>
      <c r="AF54" s="36">
        <v>6394.3236000000006</v>
      </c>
      <c r="AG54" s="37">
        <v>3836.5941600000001</v>
      </c>
      <c r="AH54" s="67">
        <v>32</v>
      </c>
    </row>
    <row r="55" spans="1:34" x14ac:dyDescent="0.4">
      <c r="A55" s="27" t="s">
        <v>34</v>
      </c>
      <c r="B55" s="5" t="s">
        <v>231</v>
      </c>
      <c r="C55" s="2" t="s">
        <v>50</v>
      </c>
      <c r="D55" s="5"/>
      <c r="E55" s="5"/>
      <c r="F55" s="1" t="s">
        <v>37</v>
      </c>
      <c r="G55" s="5">
        <v>98096803</v>
      </c>
      <c r="H55" s="35">
        <v>46182</v>
      </c>
      <c r="I55" s="59" t="s">
        <v>39</v>
      </c>
      <c r="J55" s="56">
        <v>9765</v>
      </c>
      <c r="K55" s="5"/>
      <c r="L55" s="35"/>
      <c r="M55" s="28"/>
      <c r="N55" s="35">
        <v>46183</v>
      </c>
      <c r="O55" s="35">
        <v>46200</v>
      </c>
      <c r="P55" s="35">
        <v>46236</v>
      </c>
      <c r="Q55" s="35"/>
      <c r="R55" s="5"/>
      <c r="S55" s="5" t="s">
        <v>232</v>
      </c>
      <c r="T55" s="39"/>
      <c r="U55" s="5">
        <v>120</v>
      </c>
      <c r="V55" s="5">
        <v>575</v>
      </c>
      <c r="W55" s="5" t="s">
        <v>119</v>
      </c>
      <c r="X55" s="5"/>
      <c r="Y55" s="5" t="s">
        <v>44</v>
      </c>
      <c r="Z55" s="5" t="s">
        <v>45</v>
      </c>
      <c r="AA55" s="27"/>
      <c r="AB55" s="5">
        <v>2</v>
      </c>
      <c r="AC55" s="5" t="s">
        <v>46</v>
      </c>
      <c r="AD55" s="5">
        <v>280</v>
      </c>
      <c r="AE55" s="29"/>
      <c r="AF55" s="36">
        <v>11337.165000000001</v>
      </c>
      <c r="AG55" s="37">
        <v>7369.1572500000011</v>
      </c>
      <c r="AH55" s="67">
        <v>32</v>
      </c>
    </row>
    <row r="56" spans="1:34" x14ac:dyDescent="0.4">
      <c r="A56" s="27" t="s">
        <v>34</v>
      </c>
      <c r="B56" s="5" t="s">
        <v>231</v>
      </c>
      <c r="C56" s="2" t="s">
        <v>50</v>
      </c>
      <c r="D56" s="5"/>
      <c r="E56" s="5"/>
      <c r="F56" s="1" t="s">
        <v>37</v>
      </c>
      <c r="G56" s="5">
        <v>98096804</v>
      </c>
      <c r="H56" s="35">
        <v>46182</v>
      </c>
      <c r="I56" s="59" t="s">
        <v>39</v>
      </c>
      <c r="J56" s="56">
        <v>5195</v>
      </c>
      <c r="K56" s="5">
        <v>90</v>
      </c>
      <c r="L56" s="35"/>
      <c r="M56" s="28"/>
      <c r="N56" s="35">
        <v>46183</v>
      </c>
      <c r="O56" s="35">
        <v>46200</v>
      </c>
      <c r="P56" s="35">
        <v>46236</v>
      </c>
      <c r="Q56" s="35"/>
      <c r="R56" s="5"/>
      <c r="S56" s="5" t="s">
        <v>232</v>
      </c>
      <c r="T56" s="39"/>
      <c r="U56" s="5">
        <v>120</v>
      </c>
      <c r="V56" s="5">
        <v>575</v>
      </c>
      <c r="W56" s="5" t="s">
        <v>119</v>
      </c>
      <c r="X56" s="5"/>
      <c r="Y56" s="5" t="s">
        <v>44</v>
      </c>
      <c r="Z56" s="5" t="s">
        <v>45</v>
      </c>
      <c r="AA56" s="27"/>
      <c r="AB56" s="5">
        <v>2</v>
      </c>
      <c r="AC56" s="5" t="s">
        <v>46</v>
      </c>
      <c r="AD56" s="5">
        <v>280</v>
      </c>
      <c r="AE56" s="29"/>
      <c r="AF56" s="36">
        <v>6031.3950000000004</v>
      </c>
      <c r="AG56" s="37">
        <v>3920.4067500000006</v>
      </c>
      <c r="AH56" s="67">
        <v>32</v>
      </c>
    </row>
    <row r="57" spans="1:34" x14ac:dyDescent="0.4">
      <c r="A57" s="27" t="s">
        <v>55</v>
      </c>
      <c r="B57" s="5" t="s">
        <v>233</v>
      </c>
      <c r="C57" s="28" t="s">
        <v>36</v>
      </c>
      <c r="D57" s="29"/>
      <c r="E57" s="27">
        <v>38823</v>
      </c>
      <c r="F57" s="31" t="s">
        <v>58</v>
      </c>
      <c r="G57" s="32" t="s">
        <v>115</v>
      </c>
      <c r="H57" s="33"/>
      <c r="I57" s="32" t="s">
        <v>39</v>
      </c>
      <c r="J57" s="56">
        <v>796</v>
      </c>
      <c r="K57" s="5" t="s">
        <v>234</v>
      </c>
      <c r="L57" s="35">
        <v>46164</v>
      </c>
      <c r="M57" s="5"/>
      <c r="N57" s="35"/>
      <c r="O57" s="35"/>
      <c r="P57" s="35">
        <v>46234</v>
      </c>
      <c r="Q57" s="35"/>
      <c r="R57" s="5"/>
      <c r="S57" s="5" t="s">
        <v>235</v>
      </c>
      <c r="T57" s="5"/>
      <c r="U57" s="5"/>
      <c r="V57" s="5"/>
      <c r="W57" s="5" t="s">
        <v>78</v>
      </c>
      <c r="X57" s="5"/>
      <c r="Y57" s="5" t="s">
        <v>44</v>
      </c>
      <c r="Z57" s="5"/>
      <c r="AA57" s="5"/>
      <c r="AB57" s="5"/>
      <c r="AC57" s="5"/>
      <c r="AD57" s="5"/>
      <c r="AE57" s="5"/>
      <c r="AF57" s="36">
        <v>924.15600000000006</v>
      </c>
      <c r="AG57" s="37">
        <v>554.49360000000001</v>
      </c>
      <c r="AH57" s="67">
        <v>31</v>
      </c>
    </row>
    <row r="58" spans="1:34" x14ac:dyDescent="0.4">
      <c r="A58" s="27" t="s">
        <v>34</v>
      </c>
      <c r="B58" s="5" t="s">
        <v>236</v>
      </c>
      <c r="C58" s="28" t="s">
        <v>57</v>
      </c>
      <c r="D58" s="5"/>
      <c r="E58" s="5"/>
      <c r="F58" s="5" t="s">
        <v>58</v>
      </c>
      <c r="G58" s="5" t="s">
        <v>237</v>
      </c>
      <c r="H58" s="35">
        <v>46124</v>
      </c>
      <c r="I58" s="5" t="s">
        <v>186</v>
      </c>
      <c r="J58" s="56">
        <v>10262</v>
      </c>
      <c r="K58" s="5" t="s">
        <v>182</v>
      </c>
      <c r="L58" s="35"/>
      <c r="M58" s="5">
        <v>3176</v>
      </c>
      <c r="N58" s="35">
        <v>46167</v>
      </c>
      <c r="O58" s="35">
        <v>46173</v>
      </c>
      <c r="P58" s="35">
        <v>46236</v>
      </c>
      <c r="Q58" s="35"/>
      <c r="R58" s="5"/>
      <c r="S58" s="5" t="s">
        <v>238</v>
      </c>
      <c r="T58" s="5">
        <v>107</v>
      </c>
      <c r="U58" s="5">
        <v>555</v>
      </c>
      <c r="V58" s="5" t="s">
        <v>239</v>
      </c>
      <c r="W58" s="5" t="s">
        <v>65</v>
      </c>
      <c r="X58" s="5" t="s">
        <v>240</v>
      </c>
      <c r="Y58" s="5" t="s">
        <v>241</v>
      </c>
      <c r="Z58" s="5" t="s">
        <v>85</v>
      </c>
      <c r="AA58" s="5"/>
      <c r="AB58" s="27">
        <v>8</v>
      </c>
      <c r="AC58" s="27" t="s">
        <v>242</v>
      </c>
      <c r="AD58" s="5">
        <v>141</v>
      </c>
      <c r="AE58" s="5"/>
      <c r="AF58" s="36">
        <v>10262</v>
      </c>
      <c r="AG58" s="37">
        <v>6157.2</v>
      </c>
      <c r="AH58" s="67">
        <v>32</v>
      </c>
    </row>
    <row r="59" spans="1:34" x14ac:dyDescent="0.4">
      <c r="A59" s="27" t="s">
        <v>55</v>
      </c>
      <c r="B59" s="5" t="s">
        <v>243</v>
      </c>
      <c r="C59" s="5" t="s">
        <v>100</v>
      </c>
      <c r="D59" s="5"/>
      <c r="E59" s="5" t="s">
        <v>244</v>
      </c>
      <c r="F59" s="5" t="s">
        <v>58</v>
      </c>
      <c r="G59" s="5" t="s">
        <v>245</v>
      </c>
      <c r="H59" s="35"/>
      <c r="I59" s="5" t="s">
        <v>39</v>
      </c>
      <c r="J59" s="34">
        <v>23760</v>
      </c>
      <c r="K59" s="5" t="s">
        <v>116</v>
      </c>
      <c r="L59" s="35" t="s">
        <v>246</v>
      </c>
      <c r="M59" s="5"/>
      <c r="N59" s="35">
        <v>46188</v>
      </c>
      <c r="O59" s="35"/>
      <c r="P59" s="35">
        <v>46238</v>
      </c>
      <c r="Q59" s="35"/>
      <c r="R59" s="5"/>
      <c r="S59" s="5" t="s">
        <v>247</v>
      </c>
      <c r="T59" s="5"/>
      <c r="U59" s="5"/>
      <c r="V59" s="5"/>
      <c r="W59" s="5" t="s">
        <v>78</v>
      </c>
      <c r="X59" s="5"/>
      <c r="Y59" s="5" t="s">
        <v>44</v>
      </c>
      <c r="Z59" s="5"/>
      <c r="AA59" s="5"/>
      <c r="AB59" s="5">
        <v>3</v>
      </c>
      <c r="AC59" s="5" t="s">
        <v>46</v>
      </c>
      <c r="AD59" s="5">
        <v>1340</v>
      </c>
      <c r="AE59" s="5"/>
      <c r="AF59" s="36">
        <v>27585.360000000001</v>
      </c>
      <c r="AG59" s="37">
        <v>16551.216</v>
      </c>
      <c r="AH59" s="67">
        <v>32</v>
      </c>
    </row>
    <row r="60" spans="1:34" x14ac:dyDescent="0.4">
      <c r="A60" s="27" t="s">
        <v>55</v>
      </c>
      <c r="B60" s="5" t="s">
        <v>248</v>
      </c>
      <c r="C60" s="5" t="s">
        <v>114</v>
      </c>
      <c r="D60" s="5"/>
      <c r="E60" s="5">
        <v>38954</v>
      </c>
      <c r="F60" s="5" t="s">
        <v>58</v>
      </c>
      <c r="G60" s="5" t="s">
        <v>249</v>
      </c>
      <c r="H60" s="35"/>
      <c r="I60" s="5" t="s">
        <v>60</v>
      </c>
      <c r="J60" s="56">
        <v>736</v>
      </c>
      <c r="K60" s="5" t="s">
        <v>76</v>
      </c>
      <c r="L60" s="35" t="s">
        <v>250</v>
      </c>
      <c r="M60" s="5"/>
      <c r="N60" s="35">
        <v>46195</v>
      </c>
      <c r="O60" s="35"/>
      <c r="P60" s="35">
        <v>46250</v>
      </c>
      <c r="Q60" s="35">
        <v>46174</v>
      </c>
      <c r="R60" s="5"/>
      <c r="S60" s="5"/>
      <c r="T60" s="5"/>
      <c r="U60" s="5"/>
      <c r="V60" s="5"/>
      <c r="W60" s="5" t="s">
        <v>119</v>
      </c>
      <c r="X60" s="5"/>
      <c r="Y60" s="5" t="s">
        <v>44</v>
      </c>
      <c r="Z60" s="5"/>
      <c r="AA60" s="5"/>
      <c r="AB60" s="5"/>
      <c r="AC60" s="5"/>
      <c r="AD60" s="5">
        <v>2823</v>
      </c>
      <c r="AE60" s="5"/>
      <c r="AF60" s="36">
        <v>736</v>
      </c>
      <c r="AG60" s="37">
        <v>441.59999999999997</v>
      </c>
      <c r="AH60" s="67">
        <v>34</v>
      </c>
    </row>
    <row r="61" spans="1:34" x14ac:dyDescent="0.4">
      <c r="A61" s="27" t="s">
        <v>55</v>
      </c>
      <c r="B61" s="5" t="s">
        <v>248</v>
      </c>
      <c r="C61" s="5" t="s">
        <v>114</v>
      </c>
      <c r="D61" s="5"/>
      <c r="E61" s="5">
        <v>38955</v>
      </c>
      <c r="F61" s="5" t="s">
        <v>58</v>
      </c>
      <c r="G61" s="5" t="s">
        <v>249</v>
      </c>
      <c r="H61" s="35"/>
      <c r="I61" s="5" t="s">
        <v>60</v>
      </c>
      <c r="J61" s="56">
        <v>19412</v>
      </c>
      <c r="K61" s="5" t="s">
        <v>76</v>
      </c>
      <c r="L61" s="35" t="s">
        <v>250</v>
      </c>
      <c r="M61" s="5"/>
      <c r="N61" s="35">
        <v>46195</v>
      </c>
      <c r="O61" s="35"/>
      <c r="P61" s="35">
        <v>46250</v>
      </c>
      <c r="Q61" s="35"/>
      <c r="R61" s="35"/>
      <c r="S61" s="5"/>
      <c r="T61" s="5"/>
      <c r="U61" s="5"/>
      <c r="V61" s="5"/>
      <c r="W61" s="5" t="s">
        <v>119</v>
      </c>
      <c r="X61" s="5"/>
      <c r="Y61" s="5" t="s">
        <v>44</v>
      </c>
      <c r="Z61" s="5"/>
      <c r="AA61" s="5"/>
      <c r="AB61" s="5"/>
      <c r="AC61" s="5"/>
      <c r="AD61" s="5">
        <v>2823</v>
      </c>
      <c r="AE61" s="5"/>
      <c r="AF61" s="36">
        <v>19412</v>
      </c>
      <c r="AG61" s="37">
        <v>11647.199999999999</v>
      </c>
      <c r="AH61" s="67">
        <v>34</v>
      </c>
    </row>
    <row r="62" spans="1:34" x14ac:dyDescent="0.4">
      <c r="A62" s="27" t="s">
        <v>55</v>
      </c>
      <c r="B62" s="5" t="s">
        <v>248</v>
      </c>
      <c r="C62" s="5" t="s">
        <v>114</v>
      </c>
      <c r="D62" s="5"/>
      <c r="E62" s="5">
        <v>38956</v>
      </c>
      <c r="F62" s="1" t="s">
        <v>58</v>
      </c>
      <c r="G62" s="5" t="s">
        <v>249</v>
      </c>
      <c r="H62" s="35"/>
      <c r="I62" s="5" t="s">
        <v>60</v>
      </c>
      <c r="J62" s="56">
        <v>1104</v>
      </c>
      <c r="K62" s="5" t="s">
        <v>76</v>
      </c>
      <c r="L62" s="35" t="s">
        <v>250</v>
      </c>
      <c r="M62" s="5"/>
      <c r="N62" s="35">
        <v>46195</v>
      </c>
      <c r="O62" s="35"/>
      <c r="P62" s="35">
        <v>46250</v>
      </c>
      <c r="Q62" s="35"/>
      <c r="R62" s="5"/>
      <c r="S62" s="5"/>
      <c r="T62" s="5"/>
      <c r="U62" s="5"/>
      <c r="V62" s="5"/>
      <c r="W62" s="5" t="s">
        <v>119</v>
      </c>
      <c r="X62" s="5"/>
      <c r="Y62" s="5" t="s">
        <v>44</v>
      </c>
      <c r="Z62" s="5"/>
      <c r="AA62" s="5"/>
      <c r="AB62" s="5"/>
      <c r="AC62" s="5"/>
      <c r="AD62" s="5">
        <v>2823</v>
      </c>
      <c r="AE62" s="5"/>
      <c r="AF62" s="36">
        <v>1104</v>
      </c>
      <c r="AG62" s="37">
        <v>662.4</v>
      </c>
      <c r="AH62" s="67">
        <v>34</v>
      </c>
    </row>
    <row r="63" spans="1:34" x14ac:dyDescent="0.4">
      <c r="A63" s="45" t="s">
        <v>55</v>
      </c>
      <c r="B63" s="46" t="s">
        <v>251</v>
      </c>
      <c r="C63" s="46" t="s">
        <v>252</v>
      </c>
      <c r="D63" s="46"/>
      <c r="E63" s="46">
        <v>38574</v>
      </c>
      <c r="F63" s="46" t="s">
        <v>58</v>
      </c>
      <c r="G63" s="46" t="s">
        <v>253</v>
      </c>
      <c r="H63" s="48">
        <v>46153</v>
      </c>
      <c r="I63" s="46" t="s">
        <v>60</v>
      </c>
      <c r="J63" s="56">
        <v>10387</v>
      </c>
      <c r="K63" s="46" t="s">
        <v>76</v>
      </c>
      <c r="L63" s="48">
        <v>46178</v>
      </c>
      <c r="M63" s="46">
        <v>3174</v>
      </c>
      <c r="N63" s="48">
        <v>46193</v>
      </c>
      <c r="O63" s="48">
        <v>46193</v>
      </c>
      <c r="P63" s="48">
        <v>46253</v>
      </c>
      <c r="Q63" s="48"/>
      <c r="R63" s="46"/>
      <c r="S63" s="46"/>
      <c r="T63" s="46"/>
      <c r="U63" s="46">
        <v>1687</v>
      </c>
      <c r="V63" s="46">
        <v>845</v>
      </c>
      <c r="W63" s="46" t="s">
        <v>78</v>
      </c>
      <c r="X63" s="46" t="s">
        <v>254</v>
      </c>
      <c r="Y63" s="46" t="s">
        <v>44</v>
      </c>
      <c r="Z63" s="46" t="s">
        <v>45</v>
      </c>
      <c r="AA63" s="46"/>
      <c r="AB63" s="46">
        <v>6</v>
      </c>
      <c r="AC63" s="46" t="s">
        <v>46</v>
      </c>
      <c r="AD63" s="46">
        <v>2756</v>
      </c>
      <c r="AE63" s="46"/>
      <c r="AF63" s="36">
        <v>10387</v>
      </c>
      <c r="AG63" s="37">
        <v>6232.2</v>
      </c>
      <c r="AH63" s="67">
        <v>34</v>
      </c>
    </row>
    <row r="64" spans="1:34" x14ac:dyDescent="0.4">
      <c r="A64" s="45" t="s">
        <v>55</v>
      </c>
      <c r="B64" s="46" t="s">
        <v>251</v>
      </c>
      <c r="C64" s="46" t="s">
        <v>252</v>
      </c>
      <c r="D64" s="46"/>
      <c r="E64" s="46">
        <v>38573</v>
      </c>
      <c r="F64" s="46" t="s">
        <v>58</v>
      </c>
      <c r="G64" s="46" t="s">
        <v>253</v>
      </c>
      <c r="H64" s="48">
        <v>46153</v>
      </c>
      <c r="I64" s="46" t="s">
        <v>60</v>
      </c>
      <c r="J64" s="56">
        <v>22234.6</v>
      </c>
      <c r="K64" s="46" t="s">
        <v>76</v>
      </c>
      <c r="L64" s="48">
        <v>46178</v>
      </c>
      <c r="M64" s="46">
        <v>3174</v>
      </c>
      <c r="N64" s="48">
        <v>46193</v>
      </c>
      <c r="O64" s="48">
        <v>46193</v>
      </c>
      <c r="P64" s="48">
        <v>46253</v>
      </c>
      <c r="Q64" s="48"/>
      <c r="R64" s="46"/>
      <c r="S64" s="46"/>
      <c r="T64" s="46"/>
      <c r="U64" s="46">
        <v>1687</v>
      </c>
      <c r="V64" s="46">
        <v>845</v>
      </c>
      <c r="W64" s="46" t="s">
        <v>78</v>
      </c>
      <c r="X64" s="46" t="s">
        <v>254</v>
      </c>
      <c r="Y64" s="46" t="s">
        <v>44</v>
      </c>
      <c r="Z64" s="46" t="s">
        <v>85</v>
      </c>
      <c r="AA64" s="46"/>
      <c r="AB64" s="46">
        <v>6</v>
      </c>
      <c r="AC64" s="46" t="s">
        <v>46</v>
      </c>
      <c r="AD64" s="46">
        <v>2756</v>
      </c>
      <c r="AE64" s="46"/>
      <c r="AF64" s="36">
        <v>22234.6</v>
      </c>
      <c r="AG64" s="37">
        <v>13340.759999999998</v>
      </c>
      <c r="AH64" s="67">
        <v>34</v>
      </c>
    </row>
    <row r="65" spans="1:34" x14ac:dyDescent="0.4">
      <c r="A65" s="45" t="s">
        <v>55</v>
      </c>
      <c r="B65" s="46" t="s">
        <v>255</v>
      </c>
      <c r="C65" s="50" t="s">
        <v>256</v>
      </c>
      <c r="D65" s="51"/>
      <c r="E65" s="45">
        <v>38822</v>
      </c>
      <c r="F65" s="52" t="s">
        <v>257</v>
      </c>
      <c r="G65" s="53" t="s">
        <v>258</v>
      </c>
      <c r="H65" s="54"/>
      <c r="I65" s="53" t="s">
        <v>259</v>
      </c>
      <c r="J65" s="62">
        <v>10150</v>
      </c>
      <c r="K65" s="46" t="s">
        <v>116</v>
      </c>
      <c r="L65" s="48" t="s">
        <v>260</v>
      </c>
      <c r="M65" s="46">
        <v>3190</v>
      </c>
      <c r="N65" s="48">
        <v>46191</v>
      </c>
      <c r="O65" s="48">
        <v>46201</v>
      </c>
      <c r="P65" s="48">
        <v>46241</v>
      </c>
      <c r="Q65" s="48">
        <v>46174</v>
      </c>
      <c r="R65" s="46"/>
      <c r="S65" s="46" t="s">
        <v>261</v>
      </c>
      <c r="T65" s="46"/>
      <c r="U65" s="46">
        <v>1125</v>
      </c>
      <c r="V65" s="46" t="s">
        <v>262</v>
      </c>
      <c r="W65" s="46" t="s">
        <v>119</v>
      </c>
      <c r="X65" s="46">
        <v>16471582</v>
      </c>
      <c r="Y65" s="46" t="s">
        <v>44</v>
      </c>
      <c r="Z65" s="46"/>
      <c r="AA65" s="46"/>
      <c r="AB65" s="46">
        <v>88</v>
      </c>
      <c r="AC65" s="63" t="s">
        <v>67</v>
      </c>
      <c r="AD65" s="46">
        <v>1139</v>
      </c>
      <c r="AE65" s="46"/>
      <c r="AF65" s="64">
        <v>11784.15</v>
      </c>
      <c r="AG65" s="65">
        <v>7070.49</v>
      </c>
      <c r="AH65" s="68">
        <v>32</v>
      </c>
    </row>
    <row r="66" spans="1:34" x14ac:dyDescent="0.4">
      <c r="A66" s="27" t="s">
        <v>55</v>
      </c>
      <c r="B66" s="5" t="s">
        <v>68</v>
      </c>
      <c r="C66" s="28" t="s">
        <v>69</v>
      </c>
      <c r="D66" s="29">
        <v>46072</v>
      </c>
      <c r="E66" s="27">
        <v>38488</v>
      </c>
      <c r="F66" s="31"/>
      <c r="G66" s="32"/>
      <c r="H66" s="33"/>
      <c r="I66" s="32" t="s">
        <v>39</v>
      </c>
      <c r="J66" s="56">
        <v>15300</v>
      </c>
      <c r="K66" s="5" t="s">
        <v>61</v>
      </c>
      <c r="L66" s="35">
        <v>46213</v>
      </c>
      <c r="M66" s="5"/>
      <c r="N66" s="35">
        <v>46216</v>
      </c>
      <c r="O66" s="35"/>
      <c r="P66" s="35">
        <v>46261</v>
      </c>
      <c r="Q66" s="35"/>
      <c r="R66" s="5"/>
      <c r="S66" s="5" t="s">
        <v>263</v>
      </c>
      <c r="T66" s="5"/>
      <c r="U66" s="5"/>
      <c r="V66" s="5"/>
      <c r="W66" s="5" t="s">
        <v>163</v>
      </c>
      <c r="X66" s="5"/>
      <c r="Y66" s="5" t="s">
        <v>44</v>
      </c>
      <c r="Z66" s="5"/>
      <c r="AA66" s="5"/>
      <c r="AB66" s="5"/>
      <c r="AC66" s="1"/>
      <c r="AD66" s="5"/>
      <c r="AE66" s="5"/>
      <c r="AF66" s="36">
        <v>17763.3</v>
      </c>
      <c r="AG66" s="37">
        <v>10657.98</v>
      </c>
      <c r="AH66" s="67">
        <v>35</v>
      </c>
    </row>
    <row r="67" spans="1:34" x14ac:dyDescent="0.4">
      <c r="A67" s="27" t="s">
        <v>55</v>
      </c>
      <c r="B67" s="5" t="s">
        <v>99</v>
      </c>
      <c r="C67" s="28" t="s">
        <v>100</v>
      </c>
      <c r="D67" s="29"/>
      <c r="E67" s="27">
        <v>38453</v>
      </c>
      <c r="F67" s="31" t="s">
        <v>58</v>
      </c>
      <c r="G67" s="32"/>
      <c r="H67" s="33"/>
      <c r="I67" s="32" t="s">
        <v>39</v>
      </c>
      <c r="J67" s="56">
        <v>38211.410000000003</v>
      </c>
      <c r="K67" s="5" t="s">
        <v>102</v>
      </c>
      <c r="L67" s="35">
        <v>46164</v>
      </c>
      <c r="M67" s="5"/>
      <c r="N67" s="35">
        <v>46213</v>
      </c>
      <c r="O67" s="35"/>
      <c r="P67" s="35">
        <v>46263</v>
      </c>
      <c r="Q67" s="35"/>
      <c r="R67" s="5"/>
      <c r="S67" s="5"/>
      <c r="T67" s="5"/>
      <c r="U67" s="5"/>
      <c r="V67" s="5"/>
      <c r="W67" s="5" t="s">
        <v>163</v>
      </c>
      <c r="X67" s="5"/>
      <c r="Y67" s="5" t="s">
        <v>264</v>
      </c>
      <c r="Z67" s="5"/>
      <c r="AA67" s="5"/>
      <c r="AB67" s="5" t="s">
        <v>265</v>
      </c>
      <c r="AC67" s="1"/>
      <c r="AD67" s="5"/>
      <c r="AE67" s="5"/>
      <c r="AF67" s="36">
        <v>44363.447010000004</v>
      </c>
      <c r="AG67" s="37">
        <v>26618.068206</v>
      </c>
      <c r="AH67" s="67">
        <v>35</v>
      </c>
    </row>
    <row r="68" spans="1:34" x14ac:dyDescent="0.4">
      <c r="A68" s="27" t="s">
        <v>55</v>
      </c>
      <c r="B68" s="5" t="s">
        <v>266</v>
      </c>
      <c r="C68" s="28" t="s">
        <v>100</v>
      </c>
      <c r="D68" s="29"/>
      <c r="E68" s="27">
        <v>38812</v>
      </c>
      <c r="F68" s="31" t="s">
        <v>58</v>
      </c>
      <c r="G68" s="32" t="s">
        <v>115</v>
      </c>
      <c r="H68" s="33"/>
      <c r="I68" s="32" t="s">
        <v>39</v>
      </c>
      <c r="J68" s="56">
        <v>3885</v>
      </c>
      <c r="K68" s="5" t="s">
        <v>234</v>
      </c>
      <c r="L68" s="35">
        <v>46164</v>
      </c>
      <c r="M68" s="5"/>
      <c r="N68" s="35">
        <v>46209</v>
      </c>
      <c r="O68" s="35"/>
      <c r="P68" s="35">
        <v>46264</v>
      </c>
      <c r="Q68" s="35">
        <v>46327</v>
      </c>
      <c r="R68" s="5"/>
      <c r="S68" s="5" t="s">
        <v>267</v>
      </c>
      <c r="T68" s="5"/>
      <c r="U68" s="5"/>
      <c r="V68" s="5"/>
      <c r="W68" s="5" t="s">
        <v>78</v>
      </c>
      <c r="X68" s="5"/>
      <c r="Y68" s="5" t="s">
        <v>44</v>
      </c>
      <c r="Z68" s="5"/>
      <c r="AA68" s="5"/>
      <c r="AB68" s="5"/>
      <c r="AC68" s="1"/>
      <c r="AD68" s="5"/>
      <c r="AE68" s="5"/>
      <c r="AF68" s="36">
        <v>4510.4849999999997</v>
      </c>
      <c r="AG68" s="37">
        <v>2706.2909999999997</v>
      </c>
      <c r="AH68" s="67">
        <v>36</v>
      </c>
    </row>
    <row r="69" spans="1:34" x14ac:dyDescent="0.4">
      <c r="A69" s="27" t="s">
        <v>55</v>
      </c>
      <c r="B69" s="5" t="s">
        <v>268</v>
      </c>
      <c r="C69" s="28" t="s">
        <v>36</v>
      </c>
      <c r="D69" s="29">
        <v>46127</v>
      </c>
      <c r="E69" s="27">
        <v>38815</v>
      </c>
      <c r="F69" s="31" t="s">
        <v>58</v>
      </c>
      <c r="G69" s="32"/>
      <c r="H69" s="33"/>
      <c r="I69" s="32" t="s">
        <v>39</v>
      </c>
      <c r="J69" s="56">
        <v>62274</v>
      </c>
      <c r="K69" s="5" t="s">
        <v>102</v>
      </c>
      <c r="L69" s="35" t="s">
        <v>269</v>
      </c>
      <c r="M69" s="5"/>
      <c r="N69" s="35"/>
      <c r="O69" s="35"/>
      <c r="P69" s="35">
        <v>46266</v>
      </c>
      <c r="Q69" s="35"/>
      <c r="R69" s="5"/>
      <c r="S69" s="5"/>
      <c r="T69" s="5"/>
      <c r="U69" s="5"/>
      <c r="V69" s="5"/>
      <c r="W69" s="5" t="s">
        <v>163</v>
      </c>
      <c r="X69" s="5"/>
      <c r="Y69" s="5"/>
      <c r="Z69" s="5"/>
      <c r="AA69" s="5"/>
      <c r="AB69" s="5"/>
      <c r="AC69" s="1"/>
      <c r="AD69" s="5"/>
      <c r="AE69" s="5"/>
      <c r="AF69" s="36">
        <v>72300.114000000001</v>
      </c>
      <c r="AG69" s="37">
        <v>43380.068399999996</v>
      </c>
      <c r="AH69" s="67">
        <v>36</v>
      </c>
    </row>
    <row r="70" spans="1:34" x14ac:dyDescent="0.4">
      <c r="A70" s="27" t="s">
        <v>55</v>
      </c>
      <c r="B70" s="5" t="s">
        <v>270</v>
      </c>
      <c r="C70" s="28" t="s">
        <v>256</v>
      </c>
      <c r="D70" s="29"/>
      <c r="E70" s="27">
        <v>38813</v>
      </c>
      <c r="F70" s="31" t="s">
        <v>58</v>
      </c>
      <c r="G70" s="32" t="s">
        <v>115</v>
      </c>
      <c r="H70" s="33"/>
      <c r="I70" s="32" t="s">
        <v>259</v>
      </c>
      <c r="J70" s="56">
        <v>15300</v>
      </c>
      <c r="K70" s="5" t="s">
        <v>116</v>
      </c>
      <c r="L70" s="35" t="s">
        <v>271</v>
      </c>
      <c r="M70" s="5"/>
      <c r="N70" s="35">
        <v>46203</v>
      </c>
      <c r="O70" s="35"/>
      <c r="P70" s="35">
        <v>46268</v>
      </c>
      <c r="Q70" s="35">
        <v>46357</v>
      </c>
      <c r="R70" s="5"/>
      <c r="S70" s="5"/>
      <c r="T70" s="5"/>
      <c r="U70" s="5"/>
      <c r="V70" s="5"/>
      <c r="W70" s="5" t="s">
        <v>78</v>
      </c>
      <c r="X70" s="5"/>
      <c r="Y70" s="5" t="s">
        <v>44</v>
      </c>
      <c r="Z70" s="5"/>
      <c r="AA70" s="5"/>
      <c r="AB70" s="5"/>
      <c r="AC70" s="1"/>
      <c r="AD70" s="5"/>
      <c r="AE70" s="5"/>
      <c r="AF70" s="36">
        <v>17763.3</v>
      </c>
      <c r="AG70" s="37">
        <v>10657.98</v>
      </c>
      <c r="AH70" s="67">
        <v>36</v>
      </c>
    </row>
    <row r="71" spans="1:34" x14ac:dyDescent="0.4">
      <c r="A71" s="27" t="s">
        <v>55</v>
      </c>
      <c r="B71" s="5" t="s">
        <v>268</v>
      </c>
      <c r="C71" s="28" t="s">
        <v>36</v>
      </c>
      <c r="D71" s="29">
        <v>46126</v>
      </c>
      <c r="E71" s="27">
        <v>38814</v>
      </c>
      <c r="F71" s="31" t="s">
        <v>58</v>
      </c>
      <c r="G71" s="32"/>
      <c r="H71" s="33"/>
      <c r="I71" s="32" t="s">
        <v>39</v>
      </c>
      <c r="J71" s="56">
        <v>23844.06</v>
      </c>
      <c r="K71" s="5" t="s">
        <v>102</v>
      </c>
      <c r="L71" s="35" t="s">
        <v>272</v>
      </c>
      <c r="M71" s="5"/>
      <c r="N71" s="35"/>
      <c r="O71" s="35"/>
      <c r="P71" s="35">
        <v>46285</v>
      </c>
      <c r="Q71" s="35"/>
      <c r="R71" s="5"/>
      <c r="S71" s="5"/>
      <c r="T71" s="5"/>
      <c r="U71" s="5"/>
      <c r="V71" s="5"/>
      <c r="W71" s="5" t="s">
        <v>78</v>
      </c>
      <c r="X71" s="5"/>
      <c r="Y71" s="5" t="s">
        <v>97</v>
      </c>
      <c r="Z71" s="5" t="s">
        <v>85</v>
      </c>
      <c r="AA71" s="5"/>
      <c r="AB71" s="5">
        <v>22</v>
      </c>
      <c r="AC71" s="1"/>
      <c r="AD71" s="5"/>
      <c r="AE71" s="5"/>
      <c r="AF71" s="36">
        <v>27682.953660000003</v>
      </c>
      <c r="AG71" s="37">
        <v>16609.772196000002</v>
      </c>
      <c r="AH71" s="67">
        <v>39</v>
      </c>
    </row>
    <row r="72" spans="1:34" x14ac:dyDescent="0.4">
      <c r="A72" s="27" t="s">
        <v>55</v>
      </c>
      <c r="B72" s="5" t="s">
        <v>99</v>
      </c>
      <c r="C72" s="28" t="s">
        <v>100</v>
      </c>
      <c r="D72" s="29"/>
      <c r="E72" s="27">
        <v>38453</v>
      </c>
      <c r="F72" s="31" t="s">
        <v>58</v>
      </c>
      <c r="G72" s="32"/>
      <c r="H72" s="33"/>
      <c r="I72" s="32" t="s">
        <v>39</v>
      </c>
      <c r="J72" s="56">
        <v>33876</v>
      </c>
      <c r="K72" s="5" t="s">
        <v>102</v>
      </c>
      <c r="L72" s="35">
        <v>46241</v>
      </c>
      <c r="M72" s="5"/>
      <c r="N72" s="35">
        <v>46290</v>
      </c>
      <c r="O72" s="35"/>
      <c r="P72" s="35">
        <v>46340</v>
      </c>
      <c r="Q72" s="35"/>
      <c r="R72" s="5"/>
      <c r="S72" s="5"/>
      <c r="T72" s="5"/>
      <c r="U72" s="5"/>
      <c r="V72" s="5"/>
      <c r="W72" s="5" t="s">
        <v>163</v>
      </c>
      <c r="X72" s="5"/>
      <c r="Y72" s="5" t="s">
        <v>264</v>
      </c>
      <c r="Z72" s="5"/>
      <c r="AA72" s="5"/>
      <c r="AB72" s="5" t="s">
        <v>265</v>
      </c>
      <c r="AC72" s="1"/>
      <c r="AD72" s="5"/>
      <c r="AE72" s="5"/>
      <c r="AF72" s="36">
        <v>39330.036</v>
      </c>
      <c r="AG72" s="37">
        <v>23598.0216</v>
      </c>
      <c r="AH72" s="67">
        <v>46</v>
      </c>
    </row>
    <row r="73" spans="1:34" x14ac:dyDescent="0.4">
      <c r="A73" s="27" t="s">
        <v>55</v>
      </c>
      <c r="B73" s="5" t="s">
        <v>99</v>
      </c>
      <c r="C73" s="28" t="s">
        <v>100</v>
      </c>
      <c r="D73" s="29"/>
      <c r="E73" s="27">
        <v>38453</v>
      </c>
      <c r="F73" s="31" t="s">
        <v>58</v>
      </c>
      <c r="G73" s="32"/>
      <c r="H73" s="33"/>
      <c r="I73" s="32" t="s">
        <v>39</v>
      </c>
      <c r="J73" s="56">
        <v>36278.1</v>
      </c>
      <c r="K73" s="5" t="s">
        <v>102</v>
      </c>
      <c r="L73" s="35">
        <v>46311</v>
      </c>
      <c r="M73" s="5"/>
      <c r="N73" s="35">
        <v>46360</v>
      </c>
      <c r="O73" s="35"/>
      <c r="P73" s="35">
        <v>46387</v>
      </c>
      <c r="Q73" s="35"/>
      <c r="R73" s="5"/>
      <c r="S73" s="5"/>
      <c r="T73" s="5"/>
      <c r="U73" s="5"/>
      <c r="V73" s="5"/>
      <c r="W73" s="5" t="s">
        <v>163</v>
      </c>
      <c r="X73" s="5"/>
      <c r="Y73" s="5" t="s">
        <v>264</v>
      </c>
      <c r="Z73" s="5"/>
      <c r="AA73" s="5"/>
      <c r="AB73" s="5" t="s">
        <v>265</v>
      </c>
      <c r="AC73" s="1"/>
      <c r="AD73" s="5"/>
      <c r="AE73" s="5"/>
      <c r="AF73" s="36">
        <v>42118.874100000001</v>
      </c>
      <c r="AG73" s="37">
        <v>25271.32446</v>
      </c>
      <c r="AH73" s="67">
        <v>53</v>
      </c>
    </row>
    <row r="74" spans="1:34" x14ac:dyDescent="0.4">
      <c r="A74" s="27" t="s">
        <v>55</v>
      </c>
      <c r="B74" s="5" t="s">
        <v>273</v>
      </c>
      <c r="C74" s="28" t="s">
        <v>50</v>
      </c>
      <c r="D74" s="29"/>
      <c r="E74" s="27"/>
      <c r="F74" s="31"/>
      <c r="G74" s="32"/>
      <c r="H74" s="33"/>
      <c r="I74" s="32"/>
      <c r="J74" s="56"/>
      <c r="K74" s="5" t="s">
        <v>200</v>
      </c>
      <c r="L74" s="35"/>
      <c r="M74" s="5"/>
      <c r="N74" s="35"/>
      <c r="O74" s="35"/>
      <c r="P74" s="35"/>
      <c r="Q74" s="35"/>
      <c r="R74" s="5"/>
      <c r="S74" s="5" t="s">
        <v>77</v>
      </c>
      <c r="T74" s="5"/>
      <c r="U74" s="5"/>
      <c r="V74" s="5"/>
      <c r="W74" s="5" t="s">
        <v>78</v>
      </c>
      <c r="X74" s="5"/>
      <c r="Y74" s="5"/>
      <c r="Z74" s="5"/>
      <c r="AA74" s="5"/>
      <c r="AB74" s="5"/>
      <c r="AC74" s="1"/>
      <c r="AD74" s="5"/>
      <c r="AE74" s="5"/>
      <c r="AF74" s="36">
        <v>0</v>
      </c>
      <c r="AG74" s="37">
        <v>0</v>
      </c>
      <c r="AH74" s="67">
        <v>0</v>
      </c>
    </row>
    <row r="75" spans="1:34" x14ac:dyDescent="0.4">
      <c r="A75" s="27" t="s">
        <v>55</v>
      </c>
      <c r="B75" s="5" t="s">
        <v>274</v>
      </c>
      <c r="C75" s="28" t="s">
        <v>36</v>
      </c>
      <c r="D75" s="29"/>
      <c r="E75" s="27">
        <v>38949</v>
      </c>
      <c r="F75" s="31" t="s">
        <v>58</v>
      </c>
      <c r="G75" s="32" t="s">
        <v>115</v>
      </c>
      <c r="H75" s="33">
        <v>46149</v>
      </c>
      <c r="I75" s="32" t="s">
        <v>39</v>
      </c>
      <c r="J75" s="56">
        <v>13041.39</v>
      </c>
      <c r="K75" s="5" t="s">
        <v>102</v>
      </c>
      <c r="L75" s="35" t="s">
        <v>275</v>
      </c>
      <c r="M75" s="5"/>
      <c r="N75" s="35"/>
      <c r="O75" s="35"/>
      <c r="P75" s="35"/>
      <c r="Q75" s="35">
        <v>46357</v>
      </c>
      <c r="R75" s="5"/>
      <c r="S75" s="5" t="s">
        <v>77</v>
      </c>
      <c r="T75" s="5"/>
      <c r="U75" s="5"/>
      <c r="V75" s="5"/>
      <c r="W75" s="5" t="s">
        <v>78</v>
      </c>
      <c r="X75" s="5"/>
      <c r="Y75" s="5"/>
      <c r="Z75" s="5"/>
      <c r="AA75" s="5"/>
      <c r="AB75" s="5"/>
      <c r="AC75" s="1"/>
      <c r="AD75" s="5"/>
      <c r="AE75" s="5"/>
      <c r="AF75" s="36">
        <v>15141.05379</v>
      </c>
      <c r="AG75" s="37">
        <v>9084.6322739999996</v>
      </c>
      <c r="AH75" s="67">
        <v>0</v>
      </c>
    </row>
    <row r="76" spans="1:34" x14ac:dyDescent="0.4">
      <c r="A76" s="27" t="s">
        <v>55</v>
      </c>
      <c r="B76" s="5" t="s">
        <v>276</v>
      </c>
      <c r="C76" s="28"/>
      <c r="D76" s="29"/>
      <c r="E76" s="27">
        <v>26999</v>
      </c>
      <c r="F76" s="31"/>
      <c r="G76" s="32"/>
      <c r="H76" s="33"/>
      <c r="I76" s="32"/>
      <c r="J76" s="56"/>
      <c r="K76" s="5"/>
      <c r="L76" s="35"/>
      <c r="M76" s="5"/>
      <c r="N76" s="35"/>
      <c r="O76" s="35"/>
      <c r="P76" s="35"/>
      <c r="Q76" s="35"/>
      <c r="R76" s="5"/>
      <c r="S76" s="5" t="s">
        <v>77</v>
      </c>
      <c r="T76" s="5"/>
      <c r="U76" s="5"/>
      <c r="V76" s="5"/>
      <c r="W76" s="5" t="s">
        <v>78</v>
      </c>
      <c r="X76" s="5"/>
      <c r="Y76" s="5"/>
      <c r="Z76" s="5"/>
      <c r="AA76" s="5"/>
      <c r="AB76" s="5"/>
      <c r="AC76" s="1"/>
      <c r="AD76" s="5"/>
      <c r="AE76" s="5"/>
      <c r="AF76" s="36">
        <v>0</v>
      </c>
      <c r="AG76" s="37">
        <v>0</v>
      </c>
      <c r="AH76" s="67">
        <v>0</v>
      </c>
    </row>
    <row r="77" spans="1:34" x14ac:dyDescent="0.4">
      <c r="A77" s="27" t="s">
        <v>55</v>
      </c>
      <c r="B77" s="5" t="s">
        <v>277</v>
      </c>
      <c r="C77" s="28" t="s">
        <v>50</v>
      </c>
      <c r="D77" s="29"/>
      <c r="E77" s="27" t="s">
        <v>278</v>
      </c>
      <c r="F77" s="31" t="s">
        <v>58</v>
      </c>
      <c r="G77" s="32"/>
      <c r="H77" s="33"/>
      <c r="I77" s="32" t="s">
        <v>39</v>
      </c>
      <c r="J77" s="56">
        <v>13109</v>
      </c>
      <c r="K77" s="5" t="s">
        <v>279</v>
      </c>
      <c r="L77" s="35"/>
      <c r="M77" s="5"/>
      <c r="N77" s="35">
        <v>46174</v>
      </c>
      <c r="O77" s="35"/>
      <c r="P77" s="35"/>
      <c r="Q77" s="35"/>
      <c r="R77" s="5"/>
      <c r="S77" s="5"/>
      <c r="T77" s="5"/>
      <c r="U77" s="5"/>
      <c r="V77" s="5"/>
      <c r="W77" s="5" t="s">
        <v>163</v>
      </c>
      <c r="X77" s="5"/>
      <c r="Y77" s="5"/>
      <c r="Z77" s="5"/>
      <c r="AA77" s="5"/>
      <c r="AB77" s="5"/>
      <c r="AC77" s="1"/>
      <c r="AD77" s="5"/>
      <c r="AE77" s="5"/>
      <c r="AF77" s="36">
        <v>15219.549000000001</v>
      </c>
      <c r="AG77" s="37">
        <v>9131.7294000000002</v>
      </c>
      <c r="AH77" s="67">
        <v>0</v>
      </c>
    </row>
    <row r="78" spans="1:34" x14ac:dyDescent="0.4">
      <c r="A78" s="27" t="s">
        <v>55</v>
      </c>
      <c r="B78" s="5" t="s">
        <v>280</v>
      </c>
      <c r="C78" s="28" t="s">
        <v>50</v>
      </c>
      <c r="D78" s="29"/>
      <c r="E78" s="27">
        <v>27244</v>
      </c>
      <c r="F78" s="31" t="s">
        <v>58</v>
      </c>
      <c r="G78" s="32"/>
      <c r="H78" s="33"/>
      <c r="I78" s="32" t="s">
        <v>39</v>
      </c>
      <c r="J78" s="56">
        <v>1030</v>
      </c>
      <c r="K78" s="5" t="s">
        <v>200</v>
      </c>
      <c r="L78" s="35"/>
      <c r="M78" s="5">
        <v>3189</v>
      </c>
      <c r="N78" s="35"/>
      <c r="O78" s="35">
        <v>46189</v>
      </c>
      <c r="P78" s="35">
        <v>46219</v>
      </c>
      <c r="Q78" s="35"/>
      <c r="R78" s="5"/>
      <c r="S78" s="5" t="s">
        <v>77</v>
      </c>
      <c r="T78" s="5"/>
      <c r="U78" s="5"/>
      <c r="V78" s="5"/>
      <c r="W78" s="5" t="s">
        <v>65</v>
      </c>
      <c r="X78" s="5" t="s">
        <v>151</v>
      </c>
      <c r="Y78" s="5" t="s">
        <v>44</v>
      </c>
      <c r="Z78" s="5" t="s">
        <v>152</v>
      </c>
      <c r="AA78" s="5"/>
      <c r="AB78" s="5">
        <v>1</v>
      </c>
      <c r="AC78" s="1" t="s">
        <v>27</v>
      </c>
      <c r="AD78" s="5">
        <v>4100</v>
      </c>
      <c r="AE78" s="5"/>
      <c r="AF78" s="36">
        <v>1195.83</v>
      </c>
      <c r="AG78" s="37">
        <v>717.49799999999993</v>
      </c>
      <c r="AH78" s="67">
        <v>29</v>
      </c>
    </row>
    <row r="79" spans="1:34" x14ac:dyDescent="0.4">
      <c r="A79" s="27" t="s">
        <v>55</v>
      </c>
      <c r="B79" s="5" t="s">
        <v>87</v>
      </c>
      <c r="C79" s="28" t="s">
        <v>88</v>
      </c>
      <c r="D79" s="29"/>
      <c r="E79" s="27" t="s">
        <v>281</v>
      </c>
      <c r="F79" s="31" t="s">
        <v>81</v>
      </c>
      <c r="G79" s="32"/>
      <c r="H79" s="33"/>
      <c r="I79" s="32" t="s">
        <v>39</v>
      </c>
      <c r="J79" s="56"/>
      <c r="K79" s="5"/>
      <c r="L79" s="35"/>
      <c r="M79" s="5"/>
      <c r="N79" s="35"/>
      <c r="O79" s="35"/>
      <c r="P79" s="35"/>
      <c r="Q79" s="35"/>
      <c r="R79" s="5"/>
      <c r="S79" s="5"/>
      <c r="T79" s="5"/>
      <c r="U79" s="5"/>
      <c r="V79" s="5"/>
      <c r="W79" s="5" t="s">
        <v>78</v>
      </c>
      <c r="X79" s="5"/>
      <c r="Y79" s="5"/>
      <c r="Z79" s="5"/>
      <c r="AA79" s="5"/>
      <c r="AB79" s="5"/>
      <c r="AC79" s="1"/>
      <c r="AD79" s="5"/>
      <c r="AE79" s="5"/>
      <c r="AF79" s="36">
        <v>0</v>
      </c>
      <c r="AG79" s="37">
        <v>0</v>
      </c>
      <c r="AH79" s="67">
        <v>0</v>
      </c>
    </row>
    <row r="80" spans="1:34" x14ac:dyDescent="0.4">
      <c r="A80" s="27" t="s">
        <v>55</v>
      </c>
      <c r="B80" s="5" t="s">
        <v>56</v>
      </c>
      <c r="C80" s="28" t="s">
        <v>57</v>
      </c>
      <c r="D80" s="29"/>
      <c r="E80" s="27">
        <v>38821</v>
      </c>
      <c r="F80" s="31" t="s">
        <v>58</v>
      </c>
      <c r="G80" s="32" t="s">
        <v>282</v>
      </c>
      <c r="H80" s="33">
        <v>46172</v>
      </c>
      <c r="I80" s="32" t="s">
        <v>60</v>
      </c>
      <c r="J80" s="56">
        <v>9300</v>
      </c>
      <c r="K80" s="5" t="s">
        <v>61</v>
      </c>
      <c r="L80" s="35" t="s">
        <v>62</v>
      </c>
      <c r="M80" s="5">
        <v>3183</v>
      </c>
      <c r="N80" s="35">
        <v>46160</v>
      </c>
      <c r="O80" s="35"/>
      <c r="P80" s="35"/>
      <c r="Q80" s="35"/>
      <c r="R80" s="5"/>
      <c r="S80" s="5" t="s">
        <v>283</v>
      </c>
      <c r="T80" s="5"/>
      <c r="U80" s="5">
        <v>195</v>
      </c>
      <c r="V80" s="5"/>
      <c r="W80" s="5" t="s">
        <v>119</v>
      </c>
      <c r="X80" s="5"/>
      <c r="Y80" s="5" t="s">
        <v>44</v>
      </c>
      <c r="Z80" s="5"/>
      <c r="AA80" s="5"/>
      <c r="AB80" s="5">
        <v>26</v>
      </c>
      <c r="AC80" s="1" t="s">
        <v>67</v>
      </c>
      <c r="AD80" s="5">
        <v>200</v>
      </c>
      <c r="AE80" s="5"/>
      <c r="AF80" s="36">
        <v>9300</v>
      </c>
      <c r="AG80" s="37">
        <v>5580</v>
      </c>
      <c r="AH80" s="67">
        <v>0</v>
      </c>
    </row>
    <row r="81" spans="1:34" x14ac:dyDescent="0.4">
      <c r="A81" s="27" t="s">
        <v>34</v>
      </c>
      <c r="B81" s="5" t="s">
        <v>284</v>
      </c>
      <c r="C81" s="28" t="s">
        <v>285</v>
      </c>
      <c r="D81" s="29"/>
      <c r="E81" s="27" t="s">
        <v>286</v>
      </c>
      <c r="F81" s="31" t="s">
        <v>58</v>
      </c>
      <c r="G81" s="32"/>
      <c r="H81" s="33"/>
      <c r="I81" s="32" t="s">
        <v>39</v>
      </c>
      <c r="J81" s="56">
        <v>2411.58</v>
      </c>
      <c r="K81" s="5"/>
      <c r="L81" s="35" t="s">
        <v>287</v>
      </c>
      <c r="M81" s="5"/>
      <c r="N81" s="35"/>
      <c r="O81" s="35"/>
      <c r="P81" s="35"/>
      <c r="Q81" s="35"/>
      <c r="R81" s="5"/>
      <c r="S81" s="5" t="s">
        <v>220</v>
      </c>
      <c r="T81" s="5"/>
      <c r="U81" s="5"/>
      <c r="V81" s="5"/>
      <c r="W81" s="5" t="s">
        <v>78</v>
      </c>
      <c r="X81" s="5"/>
      <c r="Y81" s="5"/>
      <c r="Z81" s="5"/>
      <c r="AA81" s="5"/>
      <c r="AB81" s="5"/>
      <c r="AC81" s="1"/>
      <c r="AD81" s="5"/>
      <c r="AE81" s="5"/>
      <c r="AF81" s="36">
        <v>2799.84438</v>
      </c>
      <c r="AG81" s="37">
        <v>1819.8988470000002</v>
      </c>
      <c r="AH81" s="67">
        <v>0</v>
      </c>
    </row>
    <row r="82" spans="1:34" x14ac:dyDescent="0.4">
      <c r="A82" s="27" t="s">
        <v>34</v>
      </c>
      <c r="B82" s="5" t="s">
        <v>288</v>
      </c>
      <c r="C82" s="28" t="s">
        <v>50</v>
      </c>
      <c r="D82" s="29"/>
      <c r="E82" s="27"/>
      <c r="F82" s="31" t="s">
        <v>58</v>
      </c>
      <c r="G82" s="32"/>
      <c r="H82" s="33"/>
      <c r="I82" s="32"/>
      <c r="J82" s="56"/>
      <c r="K82" s="5"/>
      <c r="L82" s="35"/>
      <c r="M82" s="5"/>
      <c r="N82" s="35"/>
      <c r="O82" s="35"/>
      <c r="P82" s="35"/>
      <c r="Q82" s="35"/>
      <c r="R82" s="5"/>
      <c r="S82" s="5"/>
      <c r="T82" s="5"/>
      <c r="U82" s="5"/>
      <c r="V82" s="5"/>
      <c r="W82" s="5" t="s">
        <v>78</v>
      </c>
      <c r="X82" s="5"/>
      <c r="Y82" s="5"/>
      <c r="Z82" s="5"/>
      <c r="AA82" s="5"/>
      <c r="AB82" s="5"/>
      <c r="AC82" s="1"/>
      <c r="AD82" s="5"/>
      <c r="AE82" s="5"/>
      <c r="AF82" s="36">
        <v>0</v>
      </c>
      <c r="AG82" s="37">
        <v>0</v>
      </c>
      <c r="AH82" s="67">
        <v>0</v>
      </c>
    </row>
    <row r="83" spans="1:34" x14ac:dyDescent="0.4">
      <c r="A83" s="27" t="s">
        <v>34</v>
      </c>
      <c r="B83" s="5" t="s">
        <v>289</v>
      </c>
      <c r="C83" s="28" t="s">
        <v>290</v>
      </c>
      <c r="D83" s="29"/>
      <c r="E83" s="27"/>
      <c r="F83" s="31" t="s">
        <v>58</v>
      </c>
      <c r="G83" s="32"/>
      <c r="H83" s="33"/>
      <c r="I83" s="32"/>
      <c r="J83" s="56"/>
      <c r="K83" s="5"/>
      <c r="L83" s="35"/>
      <c r="M83" s="5"/>
      <c r="N83" s="35"/>
      <c r="O83" s="35"/>
      <c r="P83" s="35"/>
      <c r="Q83" s="35"/>
      <c r="R83" s="5"/>
      <c r="S83" s="5" t="s">
        <v>77</v>
      </c>
      <c r="T83" s="5"/>
      <c r="U83" s="5"/>
      <c r="V83" s="5"/>
      <c r="W83" s="5" t="s">
        <v>78</v>
      </c>
      <c r="X83" s="5"/>
      <c r="Y83" s="5" t="s">
        <v>44</v>
      </c>
      <c r="Z83" s="5" t="s">
        <v>159</v>
      </c>
      <c r="AA83" s="5"/>
      <c r="AB83" s="5"/>
      <c r="AC83" s="1"/>
      <c r="AD83" s="5">
        <v>678</v>
      </c>
      <c r="AE83" s="5"/>
      <c r="AF83" s="36">
        <v>0</v>
      </c>
      <c r="AG83" s="37">
        <v>0</v>
      </c>
      <c r="AH83" s="67">
        <v>0</v>
      </c>
    </row>
    <row r="84" spans="1:34" x14ac:dyDescent="0.4">
      <c r="A84" s="27" t="s">
        <v>55</v>
      </c>
      <c r="B84" s="5" t="s">
        <v>291</v>
      </c>
      <c r="C84" s="28" t="s">
        <v>292</v>
      </c>
      <c r="D84" s="29"/>
      <c r="E84" s="27">
        <v>39162</v>
      </c>
      <c r="F84" s="31"/>
      <c r="G84" s="32" t="s">
        <v>115</v>
      </c>
      <c r="H84" s="33"/>
      <c r="I84" s="32" t="s">
        <v>39</v>
      </c>
      <c r="J84" s="56">
        <v>1225</v>
      </c>
      <c r="K84" s="5" t="s">
        <v>293</v>
      </c>
      <c r="L84" s="82">
        <v>46195</v>
      </c>
      <c r="M84" s="5"/>
      <c r="N84" s="35"/>
      <c r="O84" s="35"/>
      <c r="P84" s="35"/>
      <c r="Q84" s="35"/>
      <c r="R84" s="5"/>
      <c r="S84" s="5"/>
      <c r="T84" s="5"/>
      <c r="U84" s="5"/>
      <c r="V84" s="5"/>
      <c r="W84" s="5" t="s">
        <v>163</v>
      </c>
      <c r="X84" s="5"/>
      <c r="Y84" s="5" t="s">
        <v>44</v>
      </c>
      <c r="Z84" s="5"/>
      <c r="AA84" s="5"/>
      <c r="AB84" s="5"/>
      <c r="AC84" s="1"/>
      <c r="AD84" s="5"/>
      <c r="AE84" s="5"/>
      <c r="AF84" s="36">
        <v>1422.2250000000001</v>
      </c>
      <c r="AG84" s="37">
        <v>924.44625000000008</v>
      </c>
      <c r="AH84" s="67">
        <v>0</v>
      </c>
    </row>
    <row r="85" spans="1:34" x14ac:dyDescent="0.4">
      <c r="A85" s="27" t="s">
        <v>34</v>
      </c>
      <c r="B85" s="5" t="s">
        <v>181</v>
      </c>
      <c r="C85" s="28" t="s">
        <v>57</v>
      </c>
      <c r="D85" s="29"/>
      <c r="E85" s="27"/>
      <c r="F85" s="31"/>
      <c r="G85" s="32" t="s">
        <v>115</v>
      </c>
      <c r="H85" s="33"/>
      <c r="I85" s="32" t="s">
        <v>60</v>
      </c>
      <c r="J85" s="56">
        <v>47127</v>
      </c>
      <c r="K85" s="5"/>
      <c r="L85" s="82">
        <v>46199</v>
      </c>
      <c r="M85" s="5"/>
      <c r="N85" s="35"/>
      <c r="O85" s="35"/>
      <c r="P85" s="35"/>
      <c r="Q85" s="35"/>
      <c r="R85" s="5"/>
      <c r="S85" s="5" t="s">
        <v>294</v>
      </c>
      <c r="T85" s="5"/>
      <c r="U85" s="5"/>
      <c r="V85" s="5"/>
      <c r="W85" s="5" t="s">
        <v>163</v>
      </c>
      <c r="X85" s="5"/>
      <c r="Y85" s="5"/>
      <c r="Z85" s="5"/>
      <c r="AA85" s="5"/>
      <c r="AB85" s="5"/>
      <c r="AC85" s="1"/>
      <c r="AD85" s="5"/>
      <c r="AE85" s="5"/>
      <c r="AF85" s="36">
        <v>47127</v>
      </c>
      <c r="AG85" s="37">
        <v>30632.55</v>
      </c>
      <c r="AH85" s="67">
        <v>0</v>
      </c>
    </row>
    <row r="86" spans="1:34" x14ac:dyDescent="0.4">
      <c r="A86" s="69" t="s">
        <v>34</v>
      </c>
      <c r="B86" s="70" t="s">
        <v>150</v>
      </c>
      <c r="C86" s="71" t="s">
        <v>50</v>
      </c>
      <c r="D86" s="72"/>
      <c r="E86" s="69"/>
      <c r="F86" s="73" t="s">
        <v>81</v>
      </c>
      <c r="G86" s="74"/>
      <c r="H86" s="75"/>
      <c r="I86" s="74"/>
      <c r="J86" s="76"/>
      <c r="K86" s="70"/>
      <c r="L86" s="77"/>
      <c r="M86" s="70"/>
      <c r="N86" s="77" t="s">
        <v>295</v>
      </c>
      <c r="O86" s="77"/>
      <c r="P86" s="77"/>
      <c r="Q86" s="77"/>
      <c r="R86" s="70"/>
      <c r="S86" s="70"/>
      <c r="T86" s="70"/>
      <c r="U86" s="70"/>
      <c r="V86" s="70"/>
      <c r="W86" s="70" t="s">
        <v>78</v>
      </c>
      <c r="X86" s="70"/>
      <c r="Y86" s="70" t="s">
        <v>44</v>
      </c>
      <c r="Z86" s="70" t="s">
        <v>152</v>
      </c>
      <c r="AA86" s="70"/>
      <c r="AB86" s="70">
        <v>41</v>
      </c>
      <c r="AC86" s="78" t="s">
        <v>138</v>
      </c>
      <c r="AD86" s="70"/>
      <c r="AE86" s="70"/>
      <c r="AF86" s="79">
        <v>0</v>
      </c>
      <c r="AG86" s="80">
        <v>0</v>
      </c>
      <c r="AH86" s="81">
        <v>0</v>
      </c>
    </row>
  </sheetData>
  <conditionalFormatting sqref="L5 L1">
    <cfRule type="timePeriod" dxfId="202" priority="192" timePeriod="thisWeek">
      <formula>AND(TODAY()-ROUNDDOWN(L1,0)&lt;=WEEKDAY(TODAY())-1,ROUNDDOWN(L1,0)-TODAY()&lt;=7-WEEKDAY(TODAY()))</formula>
    </cfRule>
  </conditionalFormatting>
  <conditionalFormatting sqref="O1:P1">
    <cfRule type="timePeriod" dxfId="201" priority="191" timePeriod="nextWeek">
      <formula>AND(ROUNDDOWN(O1,0)-TODAY()&gt;(7-WEEKDAY(TODAY())),ROUNDDOWN(O1,0)-TODAY()&lt;(15-WEEKDAY(TODAY())))</formula>
    </cfRule>
  </conditionalFormatting>
  <conditionalFormatting sqref="Z1">
    <cfRule type="expression" dxfId="200" priority="185">
      <formula>$W1="ARRIBADA"</formula>
    </cfRule>
    <cfRule type="expression" dxfId="199" priority="186">
      <formula>$W1="TRANSITO"</formula>
    </cfRule>
    <cfRule type="expression" dxfId="198" priority="187">
      <formula>$W1="PROGRAMADA"</formula>
    </cfRule>
    <cfRule type="expression" dxfId="197" priority="188">
      <formula>$W1="COORDINAR"</formula>
    </cfRule>
    <cfRule type="expression" dxfId="196" priority="189">
      <formula>$W1="INGRESADA"</formula>
    </cfRule>
    <cfRule type="expression" dxfId="195" priority="190">
      <formula>$W1="CANCELADA"</formula>
    </cfRule>
  </conditionalFormatting>
  <conditionalFormatting sqref="AG2:AG86 K2:AE35 B2:F46 G15:I46 O36:AE40 M36:N45 K36:L49 O41:R45 S41:AE48 M46:R49 D47:H47 B48:H48 B49:F49 H49:I49 Z49:AD49 G49:G50 S49:W50 Y49:Y50 X49:X52 A50:E50 N50:P50 Z50 K51:W52 Y51:AA52 A51:I56 Z53:AA53 M53:Y54 Z54:AE54 K55:N55 O55:AE56 M56:N56 A57:H57 L57:X57 AA57:AB57 AD57:AE57 K58:AE60 A58:I86 K61:AB61 AD61:AE61 I50 K50 K53:K54 A2:A49 J2:J86 K62:AE86">
    <cfRule type="expression" dxfId="194" priority="165">
      <formula>$W2="ARRIBADA"</formula>
    </cfRule>
  </conditionalFormatting>
  <conditionalFormatting sqref="AG2:AG86 J2:J29 K2:AE35 B2:F46 G15:I46 O36:AE40 M36:N45 K36:L49 O41:R45 S41:AE48 M46:R49 D47:H47 B48:H48 B49:F49 H49:I49 Z49:AE49 G49:G50 S49:W50 Y49:Y50 X49:X52 A50:E50 K50 N50:P50 Z50 K51:W52 Y51:AA52 AE51:AE53 A51:I56 Z53:AA53 K53:K54 M53:Y54 Z54:AE54 K55:N55 O55:AE56 M56:N56 A57:H57 L57:X57 AA57:AB57 AD57:AE57 K58:AE60 A58:I86 K61:AB61 AD61:AE61 A2:A49 K62:AE86">
    <cfRule type="expression" dxfId="193" priority="177">
      <formula>$W2="INGRESADA"</formula>
    </cfRule>
  </conditionalFormatting>
  <conditionalFormatting sqref="AG2:AG86 J2:J29 A2:A49 K2:AE35 B2:F46 G15:I46 O36:AE40 M36:N45 K36:L49 O41:R45 S41:AE48 M46:R49 D47:H47 B48:H48 B49:F49 H49:I49 Z49:AE49 G49:G50 S49:W50 Y49:Y50 X49:X52 A50:E50 K50 N50:P50 Z50 K51:W52 Y51:AA52 AE51:AE53 A51:I56 Z53:AA53 K53:K54 M53:Y54 Z54:AE54 K55:N55 O55:AE56 M56:N56 A57:H57 L57:X57 AA57:AB57 AD57:AE57 K58:AE60 A58:I86 K61:AB61 AD61:AE61 K62:AE86">
    <cfRule type="expression" dxfId="192" priority="178">
      <formula>$W2="CANCELADA"</formula>
    </cfRule>
  </conditionalFormatting>
  <conditionalFormatting sqref="K36:L49 B2:F46 G15:I46 A51:I56 AG2:AG86 J2:J29 A2:A49 K2:AE35 O36:AE40 M36:N45 O41:R45 S41:AE48 M46:R49 D47:H47 B48:H48 B49:F49 H49:I49 Z49:AD49 G49:G50 S49:W50 Y49:Y50 X49:X52 A50:E50 K50 N50:P50 Z50 K51:W52 Y51:AA52 Z53:AA53 K53:K54 M53:Y54 Z54:AE54 K55:N55 O55:AE56 M56:N56 A57:H57 L57:X57 AA57:AB57 AD57:AE57 K58:AE60 A58:I86 K61:AB61 AD61:AE61 K62:AE86">
    <cfRule type="expression" dxfId="191" priority="171">
      <formula>$W2="PROGRAMADA"</formula>
    </cfRule>
  </conditionalFormatting>
  <conditionalFormatting sqref="A2:A86">
    <cfRule type="expression" dxfId="190" priority="81">
      <formula>$W2="PROGRAMADA"</formula>
    </cfRule>
    <cfRule type="expression" dxfId="189" priority="82">
      <formula>$W2="COORDINAR"</formula>
    </cfRule>
    <cfRule type="expression" dxfId="188" priority="83">
      <formula>$W2="TRANSITO"</formula>
    </cfRule>
    <cfRule type="expression" dxfId="187" priority="84">
      <formula>$W2="COORDINAR"</formula>
    </cfRule>
  </conditionalFormatting>
  <conditionalFormatting sqref="AH2:AH86 AF2:AF86 Z39">
    <cfRule type="expression" dxfId="186" priority="150">
      <formula>$W2="ARRIBADA"</formula>
    </cfRule>
  </conditionalFormatting>
  <conditionalFormatting sqref="AH2:AH86 AF2:AF86 Z39">
    <cfRule type="expression" dxfId="185" priority="151">
      <formula>$W2="INGRESADA"</formula>
    </cfRule>
  </conditionalFormatting>
  <conditionalFormatting sqref="AH2:AH86 AF2:AF86 Z39">
    <cfRule type="expression" dxfId="184" priority="152">
      <formula>$W2="CANCELADA"</formula>
    </cfRule>
  </conditionalFormatting>
  <conditionalFormatting sqref="B5:C5 B15:I46 B51:I56 AF2:AH86 O36:AE40 K51:W52 C50 K2:AE35 M36:N45 K36:L49 O41:R45 S41:AE48 M46:R49 D47:H47 B48:H48 B49:F49 H49:I49 Z49:AD49 G49:G50 S49:W50 Y49:Y50 X49:X52 N50:P50 Z50 Y51:AA52 Z53:AA53 M53:Y54 Z54:AE54 K55:N55 O55:AE56 M56:N56 B57:H57 L57:X57 AA57:AB57 AD57:AE57 K58:AE60 B58:I86 K61:AB61 AD61:AE61 K62:AE86">
    <cfRule type="expression" dxfId="183" priority="164">
      <formula>$W2="TRANSITO"</formula>
    </cfRule>
  </conditionalFormatting>
  <conditionalFormatting sqref="AC16">
    <cfRule type="expression" dxfId="182" priority="163">
      <formula>$W16="ARRIBADA"</formula>
    </cfRule>
  </conditionalFormatting>
  <conditionalFormatting sqref="AG2:AG86 J2:J29 B2:B4 K2:AE27 B5:C5 B6:B46 C15:I46 K28:Y28 AA28:AE28 K29:AE35 O36:AE40 M36:N45 K36:L49 O41:R45 S41:AE48 M46:R49 D47:H47 B48:H48 B49:F49 H49:I49 Z49:AE49 G49:G50 S49:W50 X49:Y52 B50:C50 K50 N50:P50 Z50:Z52 K51:W52 AA51:AA52 B51:I56 Z53:AA53 K53:K54 M53:Y54 Z54:AE54 K55:N55 O55:AE56 M56:N56 B57:H57 L57:X57 AA57:AB57 AD57:AE57 K58:AE60 B58:I86 K61:AB61 AD61:AE61 AE51:AE53 K62:AE86">
    <cfRule type="expression" dxfId="181" priority="175">
      <formula>$W2="COORDINAR"</formula>
    </cfRule>
  </conditionalFormatting>
  <conditionalFormatting sqref="F50 I50">
    <cfRule type="expression" dxfId="180" priority="155">
      <formula>$W50="ARRIBADA"</formula>
    </cfRule>
  </conditionalFormatting>
  <conditionalFormatting sqref="K28 F28 F51:F53 K50:K54 I51:I53">
    <cfRule type="expression" dxfId="179" priority="149">
      <formula>$W28="TRANSITO"</formula>
    </cfRule>
  </conditionalFormatting>
  <conditionalFormatting sqref="B47">
    <cfRule type="expression" dxfId="178" priority="162">
      <formula>$W47="TRANSITO"</formula>
    </cfRule>
  </conditionalFormatting>
  <conditionalFormatting sqref="B2:B4 B6:B20 B57">
    <cfRule type="expression" dxfId="177" priority="74">
      <formula>$W2="TRANSITO"</formula>
    </cfRule>
  </conditionalFormatting>
  <conditionalFormatting sqref="B50">
    <cfRule type="expression" dxfId="176" priority="36">
      <formula>$W50="TRANSITO"</formula>
    </cfRule>
  </conditionalFormatting>
  <conditionalFormatting sqref="B30:C30">
    <cfRule type="expression" dxfId="175" priority="111">
      <formula>$W30="TRANSITO"</formula>
    </cfRule>
  </conditionalFormatting>
  <conditionalFormatting sqref="B21:E23 G21:I23">
    <cfRule type="expression" dxfId="174" priority="137">
      <formula>$W21="INGRESADA"</formula>
    </cfRule>
    <cfRule type="expression" dxfId="173" priority="138">
      <formula>$W21="CANCELADA"</formula>
    </cfRule>
  </conditionalFormatting>
  <conditionalFormatting sqref="B51:E53">
    <cfRule type="expression" dxfId="172" priority="25">
      <formula>$W51="TRANSITO"</formula>
    </cfRule>
    <cfRule type="expression" dxfId="171" priority="26">
      <formula>$W51="ARRIBADA"</formula>
    </cfRule>
    <cfRule type="expression" dxfId="170" priority="27">
      <formula>$W51="PROGRAMADA"</formula>
    </cfRule>
    <cfRule type="expression" dxfId="169" priority="28">
      <formula>$W51="COORDINAR"</formula>
    </cfRule>
    <cfRule type="expression" dxfId="168" priority="29">
      <formula>$W51="INGRESADA"</formula>
    </cfRule>
    <cfRule type="expression" dxfId="167" priority="30">
      <formula>$W51="CANCELADA"</formula>
    </cfRule>
  </conditionalFormatting>
  <conditionalFormatting sqref="F50">
    <cfRule type="expression" dxfId="166" priority="157">
      <formula>$W50="PROGRAMADA"</formula>
    </cfRule>
  </conditionalFormatting>
  <conditionalFormatting sqref="B26:F28 C52:F52">
    <cfRule type="expression" dxfId="165" priority="132">
      <formula>$W26="COORDINAR"</formula>
    </cfRule>
  </conditionalFormatting>
  <conditionalFormatting sqref="B26:F28 C52:F52">
    <cfRule type="expression" dxfId="164" priority="130">
      <formula>$W26="ARRIBADA"</formula>
    </cfRule>
    <cfRule type="expression" dxfId="163" priority="131">
      <formula>$W26="PROGRAMADA"</formula>
    </cfRule>
  </conditionalFormatting>
  <conditionalFormatting sqref="B37:H37 G38:H38">
    <cfRule type="expression" dxfId="162" priority="85">
      <formula>$W37="TRANSITO"</formula>
    </cfRule>
    <cfRule type="expression" dxfId="161" priority="86">
      <formula>$W37="ARRIBADA"</formula>
    </cfRule>
    <cfRule type="expression" dxfId="160" priority="87">
      <formula>$W37="PROGRAMADA"</formula>
    </cfRule>
    <cfRule type="expression" dxfId="159" priority="88">
      <formula>$W37="COORDINAR"</formula>
    </cfRule>
    <cfRule type="expression" dxfId="158" priority="89">
      <formula>$W37="INGRESADA"</formula>
    </cfRule>
    <cfRule type="expression" dxfId="157" priority="90">
      <formula>$W37="CANCELADA"</formula>
    </cfRule>
  </conditionalFormatting>
  <conditionalFormatting sqref="B47:C47 I48">
    <cfRule type="expression" dxfId="156" priority="161">
      <formula>$W47="ARRIBADA"</formula>
    </cfRule>
  </conditionalFormatting>
  <conditionalFormatting sqref="F50">
    <cfRule type="expression" dxfId="155" priority="156">
      <formula>$W50="TRANSITO"</formula>
    </cfRule>
  </conditionalFormatting>
  <conditionalFormatting sqref="C2:C3 C5 L5 C8 C22 F22 C28 F28 B47 F50 I50 F52 C52:C53 AB63:AC63 C41 I48">
    <cfRule type="expression" dxfId="154" priority="159">
      <formula>$W2="INGRESADA"</formula>
    </cfRule>
  </conditionalFormatting>
  <conditionalFormatting sqref="C2:C3 C5 L5 C8 C22 F22 C28 F28 C41 B47 I48 F50 I50 F52 C52:C53 AB63:AC63">
    <cfRule type="expression" dxfId="153" priority="160">
      <formula>$W2="CANCELADA"</formula>
    </cfRule>
  </conditionalFormatting>
  <conditionalFormatting sqref="C29">
    <cfRule type="expression" dxfId="152" priority="118">
      <formula>$W29="TRANSITO"</formula>
    </cfRule>
    <cfRule type="expression" dxfId="151" priority="119">
      <formula>$W29="PROGRAMADA"</formula>
    </cfRule>
    <cfRule type="expression" dxfId="150" priority="120">
      <formula>$W29="COORDINAR"</formula>
    </cfRule>
    <cfRule type="expression" dxfId="149" priority="121">
      <formula>$W29="INGRESADA"</formula>
    </cfRule>
    <cfRule type="expression" dxfId="148" priority="122">
      <formula>$W29="CANCELADA"</formula>
    </cfRule>
  </conditionalFormatting>
  <conditionalFormatting sqref="C35">
    <cfRule type="expression" dxfId="147" priority="97">
      <formula>$W35="PROGRAMADA"</formula>
    </cfRule>
    <cfRule type="expression" dxfId="146" priority="98">
      <formula>$W35="COORDINAR"</formula>
    </cfRule>
    <cfRule type="expression" dxfId="145" priority="99">
      <formula>$W35="TRANSITO"</formula>
    </cfRule>
    <cfRule type="expression" dxfId="144" priority="100">
      <formula>$W35="COORDINAR"</formula>
    </cfRule>
  </conditionalFormatting>
  <conditionalFormatting sqref="C50">
    <cfRule type="expression" dxfId="143" priority="43">
      <formula>$W50="COORDINAR"</formula>
    </cfRule>
    <cfRule type="expression" dxfId="142" priority="44">
      <formula>$W50="TRANSITO"</formula>
    </cfRule>
    <cfRule type="expression" dxfId="141" priority="45">
      <formula>$W50="COORDINAR"</formula>
    </cfRule>
  </conditionalFormatting>
  <conditionalFormatting sqref="C50:C53">
    <cfRule type="expression" dxfId="140" priority="35">
      <formula>$W50="PROGRAMADA"</formula>
    </cfRule>
  </conditionalFormatting>
  <conditionalFormatting sqref="C51:C53">
    <cfRule type="expression" dxfId="139" priority="31">
      <formula>$W51="COORDINAR"</formula>
    </cfRule>
    <cfRule type="expression" dxfId="138" priority="32">
      <formula>$W51="INGRESADA"</formula>
    </cfRule>
    <cfRule type="expression" dxfId="137" priority="33">
      <formula>$W51="CANCELADA"</formula>
    </cfRule>
    <cfRule type="expression" dxfId="136" priority="34">
      <formula>$W51="TRANSITO"</formula>
    </cfRule>
  </conditionalFormatting>
  <conditionalFormatting sqref="C47">
    <cfRule type="expression" dxfId="135" priority="180">
      <formula>$W47="TRANSITO"</formula>
    </cfRule>
  </conditionalFormatting>
  <conditionalFormatting sqref="C47">
    <cfRule type="expression" dxfId="134" priority="181">
      <formula>$W47="PROGRAMADA"</formula>
    </cfRule>
    <cfRule type="expression" dxfId="133" priority="182">
      <formula>$W47="COORDINAR"</formula>
    </cfRule>
    <cfRule type="expression" dxfId="132" priority="183">
      <formula>$W47="INGRESADA"</formula>
    </cfRule>
    <cfRule type="expression" dxfId="131" priority="184">
      <formula>$W47="CANCELADA"</formula>
    </cfRule>
  </conditionalFormatting>
  <conditionalFormatting sqref="C2:F4 D5:F5 C6:F17 C25 D35:E35 C41 F42 C43">
    <cfRule type="expression" dxfId="130" priority="107">
      <formula>$W2="PROGRAMADA"</formula>
    </cfRule>
    <cfRule type="expression" dxfId="129" priority="108">
      <formula>$W2="COORDINAR"</formula>
    </cfRule>
    <cfRule type="expression" dxfId="128" priority="109">
      <formula>$W2="TRANSITO"</formula>
    </cfRule>
    <cfRule type="expression" dxfId="127" priority="110">
      <formula>$W2="COORDINAR"</formula>
    </cfRule>
  </conditionalFormatting>
  <conditionalFormatting sqref="C52:F52 B26:F28">
    <cfRule type="expression" dxfId="126" priority="129">
      <formula>$W26="TRANSITO"</formula>
    </cfRule>
  </conditionalFormatting>
  <conditionalFormatting sqref="F50 I50 F28 F52 C22 C28 C52:C53 C2:C3 C8 C5 L5 F22 B47 AB63:AC63">
    <cfRule type="expression" dxfId="125" priority="158">
      <formula>$W2="COORDINAR"</formula>
    </cfRule>
  </conditionalFormatting>
  <conditionalFormatting sqref="D50:E50">
    <cfRule type="expression" dxfId="124" priority="52">
      <formula>$W50="PROGRAMADA"</formula>
    </cfRule>
    <cfRule type="expression" dxfId="123" priority="53">
      <formula>$W50="COORDINAR"</formula>
    </cfRule>
    <cfRule type="expression" dxfId="122" priority="54">
      <formula>$W50="TRANSITO"</formula>
    </cfRule>
    <cfRule type="expression" dxfId="121" priority="55">
      <formula>$W50="COORDINAR"</formula>
    </cfRule>
  </conditionalFormatting>
  <conditionalFormatting sqref="AC16">
    <cfRule type="expression" dxfId="120" priority="172">
      <formula>$W16="COORDINAR"</formula>
    </cfRule>
    <cfRule type="expression" dxfId="119" priority="173">
      <formula>$W16="INGRESADA"</formula>
    </cfRule>
    <cfRule type="expression" dxfId="118" priority="174">
      <formula>$W16="CANCELADA"</formula>
    </cfRule>
  </conditionalFormatting>
  <conditionalFormatting sqref="C2:C3 C5 L5 C8 C22 F22 C28 F28 C41 K48 I50 F52 C52:C53 AB63:AC63 I48">
    <cfRule type="expression" dxfId="117" priority="166">
      <formula>$W2="TRANSITO"</formula>
    </cfRule>
  </conditionalFormatting>
  <conditionalFormatting sqref="H2:H17">
    <cfRule type="expression" dxfId="116" priority="124">
      <formula>$W2="INGRESADA"</formula>
    </cfRule>
    <cfRule type="expression" dxfId="115" priority="125">
      <formula>$W2="CANCELADA"</formula>
    </cfRule>
    <cfRule type="expression" dxfId="114" priority="126">
      <formula>$W2="COORDINAR"</formula>
    </cfRule>
  </conditionalFormatting>
  <conditionalFormatting sqref="H50">
    <cfRule type="expression" dxfId="113" priority="46">
      <formula>$W50="INGRESADA"</formula>
    </cfRule>
    <cfRule type="expression" dxfId="112" priority="47">
      <formula>$W50="CANCELADA"</formula>
    </cfRule>
    <cfRule type="expression" dxfId="111" priority="48">
      <formula>$W50="COORDINAR"</formula>
    </cfRule>
    <cfRule type="expression" dxfId="110" priority="49">
      <formula>$W50="TRANSITO"</formula>
    </cfRule>
    <cfRule type="expression" dxfId="109" priority="50">
      <formula>$W50="ARRIBADA"</formula>
    </cfRule>
    <cfRule type="expression" dxfId="108" priority="51">
      <formula>$W50="PROGRAMADA"</formula>
    </cfRule>
    <cfRule type="expression" dxfId="107" priority="62">
      <formula>$W50="INGRESADA"</formula>
    </cfRule>
    <cfRule type="expression" dxfId="106" priority="63">
      <formula>$W50="CANCELADA"</formula>
    </cfRule>
    <cfRule type="expression" dxfId="105" priority="67">
      <formula>$W50="COORDINAR"</formula>
    </cfRule>
  </conditionalFormatting>
  <conditionalFormatting sqref="G2:I17 I35 I47 I57">
    <cfRule type="expression" dxfId="104" priority="101">
      <formula>$W2="INGRESADA"</formula>
    </cfRule>
    <cfRule type="expression" dxfId="103" priority="102">
      <formula>$W2="CANCELADA"</formula>
    </cfRule>
  </conditionalFormatting>
  <conditionalFormatting sqref="G2:I17 I35 I47:I48 I57">
    <cfRule type="expression" dxfId="102" priority="103">
      <formula>$W2="COORDINAR"</formula>
    </cfRule>
  </conditionalFormatting>
  <conditionalFormatting sqref="G2:I17 I35 I47 I57">
    <cfRule type="expression" dxfId="101" priority="104">
      <formula>$W2="TRANSITO"</formula>
    </cfRule>
    <cfRule type="expression" dxfId="100" priority="106">
      <formula>$W2="PROGRAMADA"</formula>
    </cfRule>
  </conditionalFormatting>
  <conditionalFormatting sqref="G2:I17 I35 I47 I57">
    <cfRule type="expression" dxfId="99" priority="105">
      <formula>$W2="ARRIBADA"</formula>
    </cfRule>
  </conditionalFormatting>
  <conditionalFormatting sqref="I28:I29">
    <cfRule type="expression" dxfId="98" priority="115">
      <formula>$W28="TRANSITO"</formula>
    </cfRule>
  </conditionalFormatting>
  <conditionalFormatting sqref="I29">
    <cfRule type="expression" dxfId="97" priority="112">
      <formula>$W29="INGRESADA"</formula>
    </cfRule>
    <cfRule type="expression" dxfId="96" priority="113">
      <formula>$W29="CANCELADA"</formula>
    </cfRule>
    <cfRule type="expression" dxfId="95" priority="114">
      <formula>$W29="COORDINAR"</formula>
    </cfRule>
    <cfRule type="expression" dxfId="94" priority="116">
      <formula>$W29="ARRIBADA"</formula>
    </cfRule>
    <cfRule type="expression" dxfId="93" priority="117">
      <formula>$W29="PROGRAMADA"</formula>
    </cfRule>
  </conditionalFormatting>
  <conditionalFormatting sqref="I37">
    <cfRule type="expression" dxfId="92" priority="91">
      <formula>$W37="TRANSITO"</formula>
    </cfRule>
    <cfRule type="expression" dxfId="91" priority="92">
      <formula>$W37="ARRIBADA"</formula>
    </cfRule>
    <cfRule type="expression" dxfId="90" priority="93">
      <formula>$W37="PROGRAMADA"</formula>
    </cfRule>
    <cfRule type="expression" dxfId="89" priority="94">
      <formula>$W37="COORDINAR"</formula>
    </cfRule>
    <cfRule type="expression" dxfId="88" priority="95">
      <formula>$W37="INGRESADA"</formula>
    </cfRule>
    <cfRule type="expression" dxfId="87" priority="96">
      <formula>$W37="CANCELADA"</formula>
    </cfRule>
  </conditionalFormatting>
  <conditionalFormatting sqref="B26:F28 C52:F52">
    <cfRule type="expression" dxfId="86" priority="133">
      <formula>$W26="INGRESADA"</formula>
    </cfRule>
    <cfRule type="expression" dxfId="85" priority="134">
      <formula>$W26="CANCELADA"</formula>
    </cfRule>
  </conditionalFormatting>
  <conditionalFormatting sqref="J2:J86">
    <cfRule type="expression" dxfId="84" priority="1">
      <formula>$W2="TRANSITO"</formula>
    </cfRule>
  </conditionalFormatting>
  <conditionalFormatting sqref="J30:J86">
    <cfRule type="expression" dxfId="83" priority="3">
      <formula>$W30="PROGRAMADA"</formula>
    </cfRule>
    <cfRule type="expression" dxfId="82" priority="4">
      <formula>$W30="COORDINAR"</formula>
    </cfRule>
    <cfRule type="expression" dxfId="81" priority="5">
      <formula>$W30="INGRESADA"</formula>
    </cfRule>
    <cfRule type="expression" dxfId="80" priority="6">
      <formula>$W30="CANCELADA"</formula>
    </cfRule>
  </conditionalFormatting>
  <conditionalFormatting sqref="K48">
    <cfRule type="expression" dxfId="79" priority="167">
      <formula>$W48="PROGRAMADA"</formula>
    </cfRule>
    <cfRule type="expression" dxfId="78" priority="168">
      <formula>$W48="COORDINAR"</formula>
    </cfRule>
    <cfRule type="expression" dxfId="77" priority="169">
      <formula>$W48="INGRESADA"</formula>
    </cfRule>
    <cfRule type="expression" dxfId="76" priority="170">
      <formula>$W48="CANCELADA"</formula>
    </cfRule>
  </conditionalFormatting>
  <conditionalFormatting sqref="K28">
    <cfRule type="expression" dxfId="75" priority="135">
      <formula>$W28="PROGRAMADA"</formula>
    </cfRule>
    <cfRule type="expression" dxfId="74" priority="136">
      <formula>$W28="COORDINAR"</formula>
    </cfRule>
  </conditionalFormatting>
  <conditionalFormatting sqref="K56:K57">
    <cfRule type="expression" dxfId="73" priority="143">
      <formula>$W56="TRANSITO"</formula>
    </cfRule>
    <cfRule type="expression" dxfId="72" priority="144">
      <formula>$W56="ARRIBADA"</formula>
    </cfRule>
    <cfRule type="expression" dxfId="71" priority="145">
      <formula>$W56="PROGRAMADA"</formula>
    </cfRule>
    <cfRule type="expression" dxfId="70" priority="146">
      <formula>$W56="COORDINAR"</formula>
    </cfRule>
    <cfRule type="expression" dxfId="69" priority="147">
      <formula>$W56="INGRESADA"</formula>
    </cfRule>
    <cfRule type="expression" dxfId="68" priority="148">
      <formula>$W56="CANCELADA"</formula>
    </cfRule>
  </conditionalFormatting>
  <conditionalFormatting sqref="K57">
    <cfRule type="expression" dxfId="67" priority="139">
      <formula>$W57="TRANSITO"</formula>
    </cfRule>
    <cfRule type="expression" dxfId="66" priority="140">
      <formula>$W57="ARRIBADA"</formula>
    </cfRule>
    <cfRule type="expression" dxfId="65" priority="141">
      <formula>$W57="INGRESADA"</formula>
    </cfRule>
    <cfRule type="expression" dxfId="64" priority="142">
      <formula>$W57="CANCELADA"</formula>
    </cfRule>
  </conditionalFormatting>
  <conditionalFormatting sqref="K51:K52">
    <cfRule type="expression" dxfId="63" priority="70">
      <formula>$W51="PROGRAMADA"</formula>
    </cfRule>
    <cfRule type="expression" dxfId="62" priority="71">
      <formula>$W51="COORDINAR"</formula>
    </cfRule>
  </conditionalFormatting>
  <conditionalFormatting sqref="C2:C3 C5 L5 C8 C22 F22 C28 C41 C52:C53 AB63:AC63 I48 I50 B47">
    <cfRule type="expression" dxfId="61" priority="179">
      <formula>$W2="PROGRAMADA"</formula>
    </cfRule>
  </conditionalFormatting>
  <conditionalFormatting sqref="L43:L54 L55:M55 L56 O63:O64 L57:N86">
    <cfRule type="timePeriod" dxfId="60" priority="128" timePeriod="thisWeek">
      <formula>AND(TODAY()-ROUNDDOWN(L43,0)&lt;=WEEKDAY(TODAY())-1,ROUNDDOWN(L43,0)-TODAY()&lt;=7-WEEKDAY(TODAY()))</formula>
    </cfRule>
  </conditionalFormatting>
  <conditionalFormatting sqref="L11:L13">
    <cfRule type="timePeriod" dxfId="59" priority="73" timePeriod="thisWeek">
      <formula>AND(TODAY()-ROUNDDOWN(L11,0)&lt;=WEEKDAY(TODAY())-1,ROUNDDOWN(L11,0)-TODAY()&lt;=7-WEEKDAY(TODAY()))</formula>
    </cfRule>
  </conditionalFormatting>
  <conditionalFormatting sqref="L56">
    <cfRule type="expression" dxfId="58" priority="7">
      <formula>$W56="COORDINAR"</formula>
    </cfRule>
    <cfRule type="expression" dxfId="57" priority="8">
      <formula>$W56="TRANSITO"</formula>
    </cfRule>
    <cfRule type="expression" dxfId="56" priority="9">
      <formula>$W56="ARRIBADA"</formula>
    </cfRule>
    <cfRule type="expression" dxfId="55" priority="10">
      <formula>$W56="PROGRAMADA"</formula>
    </cfRule>
    <cfRule type="expression" dxfId="54" priority="11">
      <formula>$W56="INGRESADA"</formula>
    </cfRule>
    <cfRule type="expression" dxfId="53" priority="12">
      <formula>$W56="CANCELADA"</formula>
    </cfRule>
  </conditionalFormatting>
  <conditionalFormatting sqref="L50:M50 L53:L54">
    <cfRule type="expression" dxfId="52" priority="56">
      <formula>$W50="COORDINAR"</formula>
    </cfRule>
    <cfRule type="expression" dxfId="51" priority="57">
      <formula>$W50="TRANSITO"</formula>
    </cfRule>
    <cfRule type="expression" dxfId="50" priority="58">
      <formula>$W50="ARRIBADA"</formula>
    </cfRule>
    <cfRule type="expression" dxfId="49" priority="59">
      <formula>$W50="PROGRAMADA"</formula>
    </cfRule>
    <cfRule type="expression" dxfId="48" priority="60">
      <formula>$W50="INGRESADA"</formula>
    </cfRule>
    <cfRule type="expression" dxfId="47" priority="61">
      <formula>$W50="CANCELADA"</formula>
    </cfRule>
  </conditionalFormatting>
  <conditionalFormatting sqref="AH2:AH86 AF2:AF86 Z39">
    <cfRule type="expression" dxfId="46" priority="153">
      <formula>$W2="PROGRAMADA"</formula>
    </cfRule>
  </conditionalFormatting>
  <conditionalFormatting sqref="P2:P5 O43:P50 Q49:R49 Q55:AE55 Q57:X57 AA57:AB57 AD57:AE57 O57:P86 Q58:AE60 Q61:AB61 AD61:AE61 Q62:AE86">
    <cfRule type="timePeriod" dxfId="45" priority="127" timePeriod="nextWeek">
      <formula>AND(ROUNDDOWN(O2,0)-TODAY()&gt;(7-WEEKDAY(TODAY())),ROUNDDOWN(O2,0)-TODAY()&lt;(15-WEEKDAY(TODAY())))</formula>
    </cfRule>
  </conditionalFormatting>
  <conditionalFormatting sqref="Z28">
    <cfRule type="expression" dxfId="44" priority="176">
      <formula>$W28="COORDINAR"</formula>
    </cfRule>
  </conditionalFormatting>
  <conditionalFormatting sqref="P9:P15 O11:O13">
    <cfRule type="timePeriod" dxfId="43" priority="72" timePeriod="nextWeek">
      <formula>AND(ROUNDDOWN(O9,0)-TODAY()&gt;(7-WEEKDAY(TODAY())),ROUNDDOWN(O9,0)-TODAY()&lt;(15-WEEKDAY(TODAY())))</formula>
    </cfRule>
  </conditionalFormatting>
  <conditionalFormatting sqref="P42">
    <cfRule type="timePeriod" dxfId="42" priority="2" timePeriod="nextWeek">
      <formula>AND(ROUNDDOWN(P42,0)-TODAY()&gt;(7-WEEKDAY(TODAY())),ROUNDDOWN(P42,0)-TODAY()&lt;(15-WEEKDAY(TODAY())))</formula>
    </cfRule>
  </conditionalFormatting>
  <conditionalFormatting sqref="Q50:R50">
    <cfRule type="expression" dxfId="41" priority="64">
      <formula>$W50="TRANSITO"</formula>
    </cfRule>
    <cfRule type="expression" dxfId="40" priority="65">
      <formula>$W50="ARRIBADA"</formula>
    </cfRule>
    <cfRule type="expression" dxfId="39" priority="66">
      <formula>$W50="PROGRAMADA"</formula>
    </cfRule>
    <cfRule type="expression" dxfId="38" priority="68">
      <formula>$W50="INGRESADA"</formula>
    </cfRule>
    <cfRule type="expression" dxfId="37" priority="69">
      <formula>$W50="CANCELADA"</formula>
    </cfRule>
  </conditionalFormatting>
  <conditionalFormatting sqref="Q50:R50">
    <cfRule type="expression" dxfId="36" priority="123">
      <formula>$W50="COORDINAR"</formula>
    </cfRule>
  </conditionalFormatting>
  <conditionalFormatting sqref="AH2:AH86 AF2:AF86 Z39">
    <cfRule type="expression" dxfId="35" priority="154">
      <formula>$W2="COORDINAR"</formula>
    </cfRule>
  </conditionalFormatting>
  <conditionalFormatting sqref="Y57:Z57 AC61">
    <cfRule type="expression" dxfId="34" priority="77">
      <formula>$W57="ARRIBADA"</formula>
    </cfRule>
    <cfRule type="expression" dxfId="33" priority="79">
      <formula>$W57="INGRESADA"</formula>
    </cfRule>
    <cfRule type="expression" dxfId="32" priority="80">
      <formula>$W57="CANCELADA"</formula>
    </cfRule>
  </conditionalFormatting>
  <conditionalFormatting sqref="Y57:Z57 AC61">
    <cfRule type="expression" dxfId="31" priority="75">
      <formula>$W57="COORDINAR"</formula>
    </cfRule>
    <cfRule type="expression" dxfId="30" priority="76">
      <formula>$W57="TRANSITO"</formula>
    </cfRule>
    <cfRule type="expression" dxfId="29" priority="78">
      <formula>$W57="PROGRAMADA"</formula>
    </cfRule>
  </conditionalFormatting>
  <conditionalFormatting sqref="AA50 AE50">
    <cfRule type="expression" dxfId="28" priority="37">
      <formula>$W50="COORDINAR"</formula>
    </cfRule>
    <cfRule type="expression" dxfId="27" priority="41">
      <formula>$W50="INGRESADA"</formula>
    </cfRule>
    <cfRule type="expression" dxfId="26" priority="42">
      <formula>$W50="CANCELADA"</formula>
    </cfRule>
  </conditionalFormatting>
  <conditionalFormatting sqref="AC57">
    <cfRule type="expression" dxfId="25" priority="13">
      <formula>$W57="COORDINAR"</formula>
    </cfRule>
    <cfRule type="expression" dxfId="24" priority="17">
      <formula>$W57="INGRESADA"</formula>
    </cfRule>
    <cfRule type="expression" dxfId="23" priority="18">
      <formula>$W57="CANCELADA"</formula>
    </cfRule>
  </conditionalFormatting>
  <conditionalFormatting sqref="AC57">
    <cfRule type="expression" dxfId="22" priority="14">
      <formula>$W57="TRANSITO"</formula>
    </cfRule>
    <cfRule type="expression" dxfId="21" priority="15">
      <formula>$W57="ARRIBADA"</formula>
    </cfRule>
    <cfRule type="expression" dxfId="20" priority="16">
      <formula>$W57="PROGRAMADA"</formula>
    </cfRule>
  </conditionalFormatting>
  <conditionalFormatting sqref="AB50:AD53">
    <cfRule type="expression" dxfId="19" priority="19">
      <formula>$W50="TRANSITO"</formula>
    </cfRule>
    <cfRule type="expression" dxfId="18" priority="20">
      <formula>$W50="ARRIBADA"</formula>
    </cfRule>
    <cfRule type="expression" dxfId="17" priority="21">
      <formula>$W50="PROGRAMADA"</formula>
    </cfRule>
    <cfRule type="expression" dxfId="16" priority="22">
      <formula>$W50="COORDINAR"</formula>
    </cfRule>
    <cfRule type="expression" dxfId="15" priority="23">
      <formula>$W50="INGRESADA"</formula>
    </cfRule>
    <cfRule type="expression" dxfId="14" priority="24">
      <formula>$W50="CANCELADA"</formula>
    </cfRule>
  </conditionalFormatting>
  <conditionalFormatting sqref="AE49:AE53 AA50">
    <cfRule type="expression" dxfId="13" priority="38">
      <formula>$W49="TRANSITO"</formula>
    </cfRule>
    <cfRule type="expression" dxfId="12" priority="39">
      <formula>$W49="ARRIBADA"</formula>
    </cfRule>
    <cfRule type="expression" dxfId="11" priority="40">
      <formula>$W49="PROGRAMADA"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6A08-ED21-4877-9A3C-AFA385A2E8B7}">
  <dimension ref="A1:I5"/>
  <sheetViews>
    <sheetView zoomScale="76" zoomScaleNormal="76" workbookViewId="0">
      <selection activeCell="E11" sqref="E11"/>
    </sheetView>
  </sheetViews>
  <sheetFormatPr baseColWidth="10" defaultRowHeight="14.6" x14ac:dyDescent="0.4"/>
  <sheetData>
    <row r="1" spans="1:9" x14ac:dyDescent="0.4">
      <c r="A1" s="6" t="s">
        <v>0</v>
      </c>
      <c r="B1" s="6" t="s">
        <v>1</v>
      </c>
      <c r="C1" s="15" t="s">
        <v>12</v>
      </c>
      <c r="D1" s="16" t="s">
        <v>15</v>
      </c>
      <c r="E1" s="6" t="s">
        <v>22</v>
      </c>
      <c r="F1" s="10" t="s">
        <v>24</v>
      </c>
      <c r="G1" s="10" t="s">
        <v>27</v>
      </c>
      <c r="H1" s="10" t="s">
        <v>28</v>
      </c>
      <c r="I1" s="10" t="s">
        <v>29</v>
      </c>
    </row>
    <row r="2" spans="1:9" x14ac:dyDescent="0.4">
      <c r="A2" s="27" t="s">
        <v>34</v>
      </c>
      <c r="B2" s="5" t="s">
        <v>35</v>
      </c>
      <c r="C2" s="5">
        <v>3169</v>
      </c>
      <c r="D2" s="35">
        <v>46187</v>
      </c>
      <c r="E2" s="5" t="s">
        <v>42</v>
      </c>
      <c r="F2" s="5" t="s">
        <v>44</v>
      </c>
      <c r="G2" s="5">
        <v>6</v>
      </c>
      <c r="H2" s="5" t="s">
        <v>46</v>
      </c>
      <c r="I2" s="5">
        <v>1721</v>
      </c>
    </row>
    <row r="3" spans="1:9" x14ac:dyDescent="0.4">
      <c r="A3" s="27" t="s">
        <v>34</v>
      </c>
      <c r="B3" s="5" t="s">
        <v>49</v>
      </c>
      <c r="C3" s="5">
        <v>3188</v>
      </c>
      <c r="D3" s="35">
        <v>46189</v>
      </c>
      <c r="E3" s="27" t="s">
        <v>42</v>
      </c>
      <c r="F3" s="27" t="s">
        <v>53</v>
      </c>
      <c r="G3" s="27">
        <v>14</v>
      </c>
      <c r="H3" s="27" t="s">
        <v>27</v>
      </c>
      <c r="I3" s="27">
        <v>208</v>
      </c>
    </row>
    <row r="4" spans="1:9" x14ac:dyDescent="0.4">
      <c r="A4" s="27" t="s">
        <v>55</v>
      </c>
      <c r="B4" s="5" t="s">
        <v>56</v>
      </c>
      <c r="C4" s="5">
        <v>3182</v>
      </c>
      <c r="D4" s="35">
        <v>46195</v>
      </c>
      <c r="E4" s="5" t="s">
        <v>65</v>
      </c>
      <c r="F4" s="5" t="s">
        <v>53</v>
      </c>
      <c r="G4" s="5">
        <v>1</v>
      </c>
      <c r="H4" s="5" t="s">
        <v>67</v>
      </c>
      <c r="I4" s="5">
        <v>10</v>
      </c>
    </row>
    <row r="5" spans="1:9" x14ac:dyDescent="0.4">
      <c r="A5" s="27" t="s">
        <v>55</v>
      </c>
      <c r="B5" s="5" t="s">
        <v>68</v>
      </c>
      <c r="C5" s="5"/>
      <c r="D5" s="35">
        <v>46201</v>
      </c>
      <c r="E5" s="5" t="s">
        <v>65</v>
      </c>
      <c r="F5" s="5" t="s">
        <v>44</v>
      </c>
      <c r="G5" s="5">
        <v>2</v>
      </c>
      <c r="H5" s="5" t="s">
        <v>46</v>
      </c>
      <c r="I5" s="5">
        <v>349</v>
      </c>
    </row>
  </sheetData>
  <conditionalFormatting sqref="D1:D3">
    <cfRule type="timePeriod" dxfId="10" priority="43" timePeriod="nextWeek">
      <formula>AND(ROUNDDOWN(D1,0)-TODAY()&gt;(7-WEEKDAY(TODAY())),ROUNDDOWN(D1,0)-TODAY()&lt;(15-WEEKDAY(TODAY())))</formula>
    </cfRule>
  </conditionalFormatting>
  <conditionalFormatting sqref="A2:A5">
    <cfRule type="expression" dxfId="9" priority="3">
      <formula>$E2="PROGRAMADA"</formula>
    </cfRule>
    <cfRule type="expression" dxfId="8" priority="4">
      <formula>$E2="COORDINAR"</formula>
    </cfRule>
    <cfRule type="expression" dxfId="7" priority="5">
      <formula>$E2="TRANSITO"</formula>
    </cfRule>
    <cfRule type="expression" dxfId="6" priority="6">
      <formula>$E2="COORDINAR"</formula>
    </cfRule>
  </conditionalFormatting>
  <conditionalFormatting sqref="B2:I5">
    <cfRule type="expression" dxfId="5" priority="29">
      <formula>$E2="TRANSITO"</formula>
    </cfRule>
  </conditionalFormatting>
  <conditionalFormatting sqref="A2:I5">
    <cfRule type="expression" dxfId="4" priority="207">
      <formula>$E2="ARRIBADA"</formula>
    </cfRule>
  </conditionalFormatting>
  <conditionalFormatting sqref="A2:I5">
    <cfRule type="expression" dxfId="3" priority="209">
      <formula>$E2="INGRESADA"</formula>
    </cfRule>
  </conditionalFormatting>
  <conditionalFormatting sqref="A2:I5">
    <cfRule type="expression" dxfId="2" priority="211">
      <formula>$E2="CANCELADA"</formula>
    </cfRule>
  </conditionalFormatting>
  <conditionalFormatting sqref="A2:I5">
    <cfRule type="expression" dxfId="1" priority="213">
      <formula>$E2="PROGRAMADA"</formula>
    </cfRule>
  </conditionalFormatting>
  <conditionalFormatting sqref="B2:I5">
    <cfRule type="expression" dxfId="0" priority="215">
      <formula>$E2="COORDINAR"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19 06 2026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Muñoz</dc:creator>
  <cp:lastModifiedBy>Roberta Muñoz</cp:lastModifiedBy>
  <dcterms:created xsi:type="dcterms:W3CDTF">2026-06-19T17:29:24Z</dcterms:created>
  <dcterms:modified xsi:type="dcterms:W3CDTF">2026-06-19T17:39:50Z</dcterms:modified>
</cp:coreProperties>
</file>